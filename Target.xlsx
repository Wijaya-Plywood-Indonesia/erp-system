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735"/>
  </bookViews>
  <sheets>
    <sheet name="Target Wijaya" sheetId="1" r:id="rId1"/>
    <sheet name="Target Wahana" sheetId="2" r:id="rId2"/>
    <sheet name="Sheet1" sheetId="3" r:id="rId3"/>
  </sheets>
  <externalReferences>
    <externalReference r:id="rId4"/>
  </externalReferences>
  <definedNames>
    <definedName name="_xlnm._FilterDatabase" localSheetId="1" hidden="1">'Target Wahana'!$A$2:$R$2</definedName>
    <definedName name="_xlnm._FilterDatabase" localSheetId="0" hidden="1">'Target Wijaya'!$A$2:$R$118</definedName>
    <definedName name="Rotar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K3" i="3"/>
  <c r="L3" i="3"/>
  <c r="M3" i="3"/>
  <c r="O3" i="3"/>
  <c r="J4" i="3"/>
  <c r="K4" i="3"/>
  <c r="L4" i="3"/>
  <c r="M4" i="3"/>
  <c r="O4" i="3" s="1"/>
  <c r="J5" i="3"/>
  <c r="L5" i="3" s="1"/>
  <c r="K5" i="3"/>
  <c r="M5" i="3"/>
  <c r="O5" i="3"/>
  <c r="J6" i="3"/>
  <c r="K6" i="3"/>
  <c r="L6" i="3"/>
  <c r="M6" i="3"/>
  <c r="O6" i="3"/>
  <c r="J7" i="3"/>
  <c r="L7" i="3" s="1"/>
  <c r="K7" i="3"/>
  <c r="M7" i="3"/>
  <c r="O7" i="3"/>
  <c r="J8" i="3"/>
  <c r="L8" i="3" s="1"/>
  <c r="K8" i="3"/>
  <c r="M8" i="3"/>
  <c r="O8" i="3" s="1"/>
  <c r="J9" i="3"/>
  <c r="K9" i="3"/>
  <c r="L9" i="3"/>
  <c r="M9" i="3"/>
  <c r="O9" i="3"/>
  <c r="J10" i="3"/>
  <c r="K10" i="3"/>
  <c r="L10" i="3"/>
  <c r="M10" i="3"/>
  <c r="O10" i="3" s="1"/>
  <c r="J11" i="3"/>
  <c r="L11" i="3" s="1"/>
  <c r="K11" i="3"/>
  <c r="M11" i="3"/>
  <c r="O11" i="3"/>
  <c r="J12" i="3"/>
  <c r="K12" i="3"/>
  <c r="L12" i="3"/>
  <c r="M12" i="3"/>
  <c r="O12" i="3"/>
  <c r="J13" i="3"/>
  <c r="L13" i="3" s="1"/>
  <c r="K13" i="3"/>
  <c r="M13" i="3"/>
  <c r="O13" i="3"/>
  <c r="J14" i="3"/>
  <c r="L14" i="3" s="1"/>
  <c r="K14" i="3"/>
  <c r="M14" i="3"/>
  <c r="O14" i="3" s="1"/>
  <c r="J15" i="3"/>
  <c r="K15" i="3"/>
  <c r="L15" i="3"/>
  <c r="M15" i="3"/>
  <c r="O15" i="3"/>
  <c r="J16" i="3"/>
  <c r="K16" i="3"/>
  <c r="L16" i="3"/>
  <c r="M16" i="3"/>
  <c r="O16" i="3" s="1"/>
  <c r="J17" i="3"/>
  <c r="L17" i="3" s="1"/>
  <c r="K17" i="3"/>
  <c r="M17" i="3"/>
  <c r="O17" i="3"/>
  <c r="J18" i="3"/>
  <c r="K18" i="3"/>
  <c r="L18" i="3"/>
  <c r="M18" i="3"/>
  <c r="O18" i="3"/>
  <c r="J19" i="3"/>
  <c r="L19" i="3" s="1"/>
  <c r="K19" i="3"/>
  <c r="M19" i="3"/>
  <c r="O19" i="3"/>
  <c r="J20" i="3"/>
  <c r="L20" i="3" s="1"/>
  <c r="K20" i="3"/>
  <c r="M20" i="3"/>
  <c r="O20" i="3" s="1"/>
  <c r="J21" i="3"/>
  <c r="K21" i="3"/>
  <c r="L21" i="3"/>
  <c r="M21" i="3"/>
  <c r="O21" i="3"/>
  <c r="J22" i="3"/>
  <c r="K22" i="3"/>
  <c r="L22" i="3"/>
  <c r="M22" i="3"/>
  <c r="O22" i="3" s="1"/>
  <c r="J23" i="3"/>
  <c r="L23" i="3" s="1"/>
  <c r="K23" i="3"/>
  <c r="M23" i="3"/>
  <c r="O23" i="3"/>
  <c r="J24" i="3"/>
  <c r="K24" i="3"/>
  <c r="L24" i="3"/>
  <c r="M24" i="3"/>
  <c r="O24" i="3"/>
  <c r="J25" i="3"/>
  <c r="L25" i="3" s="1"/>
  <c r="K25" i="3"/>
  <c r="M25" i="3"/>
  <c r="O25" i="3"/>
  <c r="J26" i="3"/>
  <c r="L26" i="3" s="1"/>
  <c r="K26" i="3"/>
  <c r="M26" i="3"/>
  <c r="O26" i="3" s="1"/>
  <c r="J27" i="3"/>
  <c r="K27" i="3"/>
  <c r="L27" i="3"/>
  <c r="M27" i="3"/>
  <c r="O27" i="3"/>
  <c r="J28" i="3"/>
  <c r="K28" i="3"/>
  <c r="L28" i="3"/>
  <c r="M28" i="3"/>
  <c r="O28" i="3" s="1"/>
  <c r="J29" i="3"/>
  <c r="L29" i="3" s="1"/>
  <c r="K29" i="3"/>
  <c r="M29" i="3"/>
  <c r="O29" i="3"/>
  <c r="J30" i="3"/>
  <c r="K30" i="3"/>
  <c r="L30" i="3"/>
  <c r="M30" i="3"/>
  <c r="O30" i="3"/>
  <c r="J31" i="3"/>
  <c r="L31" i="3" s="1"/>
  <c r="K31" i="3"/>
  <c r="M31" i="3"/>
  <c r="O31" i="3"/>
  <c r="J32" i="3"/>
  <c r="L32" i="3" s="1"/>
  <c r="K32" i="3"/>
  <c r="M32" i="3"/>
  <c r="O32" i="3" s="1"/>
  <c r="J33" i="3"/>
  <c r="K33" i="3"/>
  <c r="L33" i="3"/>
  <c r="M33" i="3"/>
  <c r="O33" i="3"/>
  <c r="J34" i="3"/>
  <c r="K34" i="3"/>
  <c r="L34" i="3"/>
  <c r="M34" i="3"/>
  <c r="O34" i="3" s="1"/>
  <c r="J35" i="3"/>
  <c r="L35" i="3" s="1"/>
  <c r="K35" i="3"/>
  <c r="M35" i="3"/>
  <c r="O35" i="3"/>
  <c r="J36" i="3"/>
  <c r="L36" i="3" s="1"/>
  <c r="K36" i="3"/>
  <c r="M36" i="3"/>
  <c r="O36" i="3"/>
  <c r="J37" i="3"/>
  <c r="L37" i="3" s="1"/>
  <c r="K37" i="3"/>
  <c r="M37" i="3"/>
  <c r="O37" i="3"/>
  <c r="J38" i="3"/>
  <c r="L38" i="3" s="1"/>
  <c r="K38" i="3"/>
  <c r="M38" i="3"/>
  <c r="O38" i="3" s="1"/>
  <c r="J39" i="3"/>
  <c r="K39" i="3"/>
  <c r="L39" i="3"/>
  <c r="M39" i="3"/>
  <c r="O39" i="3"/>
  <c r="J40" i="3"/>
  <c r="K40" i="3"/>
  <c r="L40" i="3"/>
  <c r="M40" i="3"/>
  <c r="O40" i="3" s="1"/>
  <c r="J41" i="3"/>
  <c r="L41" i="3" s="1"/>
  <c r="K41" i="3"/>
  <c r="M41" i="3"/>
  <c r="O41" i="3"/>
  <c r="J42" i="3"/>
  <c r="L42" i="3" s="1"/>
  <c r="K42" i="3"/>
  <c r="M42" i="3"/>
  <c r="O42" i="3"/>
  <c r="J43" i="3"/>
  <c r="L43" i="3" s="1"/>
  <c r="K43" i="3"/>
  <c r="M43" i="3"/>
  <c r="O43" i="3"/>
  <c r="J44" i="3"/>
  <c r="L44" i="3" s="1"/>
  <c r="K44" i="3"/>
  <c r="M44" i="3"/>
  <c r="O44" i="3" s="1"/>
  <c r="J45" i="3"/>
  <c r="K45" i="3"/>
  <c r="L45" i="3"/>
  <c r="M45" i="3"/>
  <c r="O45" i="3"/>
  <c r="J46" i="3"/>
  <c r="K46" i="3"/>
  <c r="L46" i="3"/>
  <c r="M46" i="3"/>
  <c r="O46" i="3" s="1"/>
  <c r="J47" i="3"/>
  <c r="L47" i="3" s="1"/>
  <c r="K47" i="3"/>
  <c r="M47" i="3"/>
  <c r="O47" i="3"/>
  <c r="J48" i="3"/>
  <c r="K48" i="3"/>
  <c r="L48" i="3"/>
  <c r="M48" i="3"/>
  <c r="O48" i="3"/>
  <c r="J49" i="3"/>
  <c r="L49" i="3" s="1"/>
  <c r="K49" i="3"/>
  <c r="M49" i="3"/>
  <c r="O49" i="3"/>
  <c r="J50" i="3"/>
  <c r="L50" i="3" s="1"/>
  <c r="K50" i="3"/>
  <c r="M50" i="3"/>
  <c r="O50" i="3" s="1"/>
  <c r="J51" i="3"/>
  <c r="K51" i="3"/>
  <c r="L51" i="3"/>
  <c r="M51" i="3"/>
  <c r="O51" i="3"/>
  <c r="J52" i="3"/>
  <c r="K52" i="3"/>
  <c r="L52" i="3"/>
  <c r="M52" i="3"/>
  <c r="O52" i="3" s="1"/>
  <c r="J53" i="3"/>
  <c r="L53" i="3" s="1"/>
  <c r="K53" i="3"/>
  <c r="M53" i="3"/>
  <c r="O53" i="3"/>
  <c r="J54" i="3"/>
  <c r="K54" i="3"/>
  <c r="L54" i="3"/>
  <c r="M54" i="3"/>
  <c r="O54" i="3"/>
  <c r="J55" i="3"/>
  <c r="L55" i="3" s="1"/>
  <c r="K55" i="3"/>
  <c r="M55" i="3"/>
  <c r="O55" i="3"/>
  <c r="J56" i="3"/>
  <c r="L56" i="3" s="1"/>
  <c r="K56" i="3"/>
  <c r="M56" i="3"/>
  <c r="O56" i="3" s="1"/>
  <c r="J57" i="3"/>
  <c r="K57" i="3"/>
  <c r="L57" i="3"/>
  <c r="M57" i="3"/>
  <c r="O57" i="3"/>
  <c r="J58" i="3"/>
  <c r="K58" i="3"/>
  <c r="L58" i="3"/>
  <c r="M58" i="3"/>
  <c r="O58" i="3" s="1"/>
  <c r="J59" i="3"/>
  <c r="L59" i="3" s="1"/>
  <c r="K59" i="3"/>
  <c r="M59" i="3"/>
  <c r="O59" i="3"/>
  <c r="J60" i="3"/>
  <c r="K60" i="3"/>
  <c r="L60" i="3"/>
  <c r="M60" i="3"/>
  <c r="O60" i="3"/>
  <c r="J61" i="3"/>
  <c r="L61" i="3" s="1"/>
  <c r="K61" i="3"/>
  <c r="M61" i="3"/>
  <c r="O61" i="3"/>
  <c r="J62" i="3"/>
  <c r="L62" i="3" s="1"/>
  <c r="K62" i="3"/>
  <c r="M62" i="3"/>
  <c r="O62" i="3" s="1"/>
  <c r="J63" i="3"/>
  <c r="K63" i="3"/>
  <c r="L63" i="3"/>
  <c r="M63" i="3"/>
  <c r="O63" i="3"/>
  <c r="J64" i="3"/>
  <c r="K64" i="3"/>
  <c r="L64" i="3"/>
  <c r="M64" i="3"/>
  <c r="O64" i="3" s="1"/>
  <c r="J65" i="3"/>
  <c r="L65" i="3" s="1"/>
  <c r="K65" i="3"/>
  <c r="M65" i="3"/>
  <c r="O65" i="3"/>
  <c r="J66" i="3"/>
  <c r="K66" i="3"/>
  <c r="L66" i="3"/>
  <c r="M66" i="3"/>
  <c r="O66" i="3"/>
  <c r="J67" i="3"/>
  <c r="L67" i="3" s="1"/>
  <c r="K67" i="3"/>
  <c r="M67" i="3"/>
  <c r="O67" i="3"/>
  <c r="J68" i="3"/>
  <c r="L68" i="3" s="1"/>
  <c r="K68" i="3"/>
  <c r="M68" i="3"/>
  <c r="O68" i="3" s="1"/>
  <c r="J69" i="3"/>
  <c r="K69" i="3"/>
  <c r="L69" i="3"/>
  <c r="M69" i="3"/>
  <c r="O69" i="3"/>
  <c r="J70" i="3"/>
  <c r="K70" i="3"/>
  <c r="L70" i="3"/>
  <c r="M70" i="3"/>
  <c r="O70" i="3" s="1"/>
  <c r="J71" i="3"/>
  <c r="L71" i="3" s="1"/>
  <c r="K71" i="3"/>
  <c r="M71" i="3"/>
  <c r="O71" i="3"/>
  <c r="J72" i="3"/>
  <c r="L72" i="3" s="1"/>
  <c r="K72" i="3"/>
  <c r="M72" i="3"/>
  <c r="O72" i="3"/>
  <c r="J73" i="3"/>
  <c r="L73" i="3" s="1"/>
  <c r="K73" i="3"/>
  <c r="M73" i="3"/>
  <c r="O73" i="3"/>
  <c r="J74" i="3"/>
  <c r="L74" i="3" s="1"/>
  <c r="K74" i="3"/>
  <c r="M74" i="3"/>
  <c r="O74" i="3" s="1"/>
  <c r="J75" i="3"/>
  <c r="K75" i="3"/>
  <c r="L75" i="3"/>
  <c r="M75" i="3"/>
  <c r="O75" i="3"/>
  <c r="J76" i="3"/>
  <c r="K76" i="3"/>
  <c r="L76" i="3"/>
  <c r="M76" i="3"/>
  <c r="O76" i="3" s="1"/>
  <c r="J77" i="3"/>
  <c r="L77" i="3" s="1"/>
  <c r="K77" i="3"/>
  <c r="M77" i="3"/>
  <c r="O77" i="3"/>
  <c r="J78" i="3"/>
  <c r="L78" i="3" s="1"/>
  <c r="K78" i="3"/>
  <c r="M78" i="3"/>
  <c r="O78" i="3"/>
  <c r="J79" i="3"/>
  <c r="L79" i="3" s="1"/>
  <c r="K79" i="3"/>
  <c r="M79" i="3"/>
  <c r="O79" i="3"/>
  <c r="J80" i="3"/>
  <c r="L80" i="3" s="1"/>
  <c r="K80" i="3"/>
  <c r="M80" i="3"/>
  <c r="O80" i="3" s="1"/>
  <c r="J81" i="3"/>
  <c r="K81" i="3"/>
  <c r="L81" i="3"/>
  <c r="M81" i="3"/>
  <c r="O81" i="3"/>
  <c r="J82" i="3"/>
  <c r="K82" i="3"/>
  <c r="L82" i="3"/>
  <c r="M82" i="3"/>
  <c r="O82" i="3" s="1"/>
  <c r="J83" i="3"/>
  <c r="L83" i="3" s="1"/>
  <c r="K83" i="3"/>
  <c r="M83" i="3"/>
  <c r="O83" i="3"/>
  <c r="J84" i="3"/>
  <c r="K84" i="3"/>
  <c r="L84" i="3"/>
  <c r="M84" i="3"/>
  <c r="O84" i="3"/>
  <c r="J85" i="3"/>
  <c r="L85" i="3" s="1"/>
  <c r="K85" i="3"/>
  <c r="M85" i="3"/>
  <c r="O85" i="3"/>
  <c r="J86" i="3"/>
  <c r="L86" i="3" s="1"/>
  <c r="K86" i="3"/>
  <c r="M86" i="3"/>
  <c r="O86" i="3" s="1"/>
  <c r="J87" i="3"/>
  <c r="K87" i="3"/>
  <c r="L87" i="3"/>
  <c r="M87" i="3"/>
  <c r="O87" i="3"/>
  <c r="J88" i="3"/>
  <c r="K88" i="3"/>
  <c r="L88" i="3"/>
  <c r="M88" i="3"/>
  <c r="O88" i="3" s="1"/>
  <c r="J89" i="3"/>
  <c r="L89" i="3" s="1"/>
  <c r="K89" i="3"/>
  <c r="M89" i="3"/>
  <c r="O89" i="3"/>
  <c r="J90" i="3"/>
  <c r="K90" i="3"/>
  <c r="L90" i="3"/>
  <c r="M90" i="3"/>
  <c r="O90" i="3"/>
  <c r="J91" i="3"/>
  <c r="L91" i="3" s="1"/>
  <c r="K91" i="3"/>
  <c r="M91" i="3"/>
  <c r="O91" i="3"/>
  <c r="J92" i="3"/>
  <c r="L92" i="3" s="1"/>
  <c r="K92" i="3"/>
  <c r="M92" i="3"/>
  <c r="O92" i="3" s="1"/>
  <c r="J93" i="3"/>
  <c r="K93" i="3"/>
  <c r="L93" i="3"/>
  <c r="M93" i="3"/>
  <c r="O93" i="3"/>
  <c r="J94" i="3"/>
  <c r="K94" i="3"/>
  <c r="L94" i="3"/>
  <c r="M94" i="3"/>
  <c r="O94" i="3" s="1"/>
  <c r="J95" i="3"/>
  <c r="L95" i="3" s="1"/>
  <c r="K95" i="3"/>
  <c r="M95" i="3"/>
  <c r="O95" i="3"/>
  <c r="J96" i="3"/>
  <c r="L96" i="3" s="1"/>
  <c r="K96" i="3"/>
  <c r="M96" i="3"/>
  <c r="O96" i="3"/>
  <c r="J97" i="3"/>
  <c r="L97" i="3" s="1"/>
  <c r="K97" i="3"/>
  <c r="M97" i="3"/>
  <c r="O97" i="3"/>
  <c r="J98" i="3"/>
  <c r="L98" i="3" s="1"/>
  <c r="K98" i="3"/>
  <c r="M98" i="3"/>
  <c r="O98" i="3" s="1"/>
  <c r="J99" i="3"/>
  <c r="K99" i="3"/>
  <c r="L99" i="3"/>
  <c r="M99" i="3"/>
  <c r="O99" i="3"/>
  <c r="J100" i="3"/>
  <c r="K100" i="3"/>
  <c r="L100" i="3"/>
  <c r="M100" i="3"/>
  <c r="O100" i="3" s="1"/>
  <c r="J101" i="3"/>
  <c r="L101" i="3" s="1"/>
  <c r="K101" i="3"/>
  <c r="M101" i="3"/>
  <c r="O101" i="3"/>
  <c r="J102" i="3"/>
  <c r="L102" i="3" s="1"/>
  <c r="K102" i="3"/>
  <c r="M102" i="3"/>
  <c r="O102" i="3"/>
  <c r="J103" i="3"/>
  <c r="L103" i="3" s="1"/>
  <c r="K103" i="3"/>
  <c r="M103" i="3"/>
  <c r="O103" i="3"/>
  <c r="J104" i="3"/>
  <c r="L104" i="3" s="1"/>
  <c r="K104" i="3"/>
  <c r="M104" i="3"/>
  <c r="O104" i="3" s="1"/>
  <c r="J105" i="3"/>
  <c r="K105" i="3"/>
  <c r="L105" i="3"/>
  <c r="M105" i="3"/>
  <c r="O105" i="3"/>
  <c r="J106" i="3"/>
  <c r="K106" i="3"/>
  <c r="L106" i="3"/>
  <c r="M106" i="3"/>
  <c r="O106" i="3" s="1"/>
  <c r="J107" i="3"/>
  <c r="L107" i="3" s="1"/>
  <c r="K107" i="3"/>
  <c r="M107" i="3"/>
  <c r="O107" i="3"/>
  <c r="J108" i="3"/>
  <c r="L108" i="3" s="1"/>
  <c r="K108" i="3"/>
  <c r="M108" i="3"/>
  <c r="O108" i="3"/>
  <c r="J109" i="3"/>
  <c r="L109" i="3" s="1"/>
  <c r="K109" i="3"/>
  <c r="M109" i="3"/>
  <c r="O109" i="3"/>
  <c r="J110" i="3"/>
  <c r="L110" i="3" s="1"/>
  <c r="K110" i="3"/>
  <c r="M110" i="3"/>
  <c r="O110" i="3" s="1"/>
  <c r="J111" i="3"/>
  <c r="K111" i="3"/>
  <c r="L111" i="3"/>
  <c r="M111" i="3"/>
  <c r="O111" i="3"/>
  <c r="J112" i="3"/>
  <c r="K112" i="3"/>
  <c r="L112" i="3"/>
  <c r="M112" i="3"/>
  <c r="O112" i="3" s="1"/>
  <c r="J113" i="3"/>
  <c r="L113" i="3" s="1"/>
  <c r="K113" i="3"/>
  <c r="M113" i="3"/>
  <c r="O113" i="3"/>
  <c r="J114" i="3"/>
  <c r="K114" i="3"/>
  <c r="L114" i="3"/>
  <c r="M114" i="3"/>
  <c r="O114" i="3"/>
  <c r="J115" i="3"/>
  <c r="L115" i="3" s="1"/>
  <c r="K115" i="3"/>
  <c r="M115" i="3"/>
  <c r="O115" i="3"/>
  <c r="J116" i="3"/>
  <c r="L116" i="3" s="1"/>
  <c r="K116" i="3"/>
  <c r="M116" i="3"/>
  <c r="O116" i="3" s="1"/>
  <c r="J117" i="3"/>
  <c r="K117" i="3"/>
  <c r="L117" i="3"/>
  <c r="M117" i="3"/>
  <c r="O117" i="3"/>
  <c r="J118" i="3"/>
  <c r="K118" i="3"/>
  <c r="L118" i="3"/>
  <c r="M118" i="3"/>
  <c r="O118" i="3" s="1"/>
  <c r="J119" i="3"/>
  <c r="L119" i="3" s="1"/>
  <c r="K119" i="3"/>
  <c r="M119" i="3"/>
  <c r="O119" i="3"/>
  <c r="J120" i="3"/>
  <c r="L120" i="3" s="1"/>
  <c r="K120" i="3"/>
  <c r="M120" i="3"/>
  <c r="O120" i="3"/>
  <c r="J121" i="3"/>
  <c r="L121" i="3" s="1"/>
  <c r="K121" i="3"/>
  <c r="M121" i="3"/>
  <c r="O121" i="3"/>
  <c r="J122" i="3"/>
  <c r="L122" i="3" s="1"/>
  <c r="K122" i="3"/>
  <c r="M122" i="3"/>
  <c r="O122" i="3" s="1"/>
  <c r="J123" i="3"/>
  <c r="K123" i="3"/>
  <c r="L123" i="3"/>
  <c r="M123" i="3"/>
  <c r="O123" i="3"/>
  <c r="J124" i="3"/>
  <c r="K124" i="3"/>
  <c r="L124" i="3"/>
  <c r="M124" i="3"/>
  <c r="O124" i="3" s="1"/>
  <c r="J3" i="2"/>
  <c r="L3" i="2" s="1"/>
  <c r="K3" i="2"/>
  <c r="M3" i="2"/>
  <c r="O3" i="2" s="1"/>
  <c r="V3" i="2"/>
  <c r="W3" i="2" s="1"/>
  <c r="X3" i="2" s="1"/>
  <c r="J4" i="2"/>
  <c r="L4" i="2" s="1"/>
  <c r="K4" i="2"/>
  <c r="M4" i="2"/>
  <c r="O4" i="2"/>
  <c r="V4" i="2"/>
  <c r="W4" i="2" s="1"/>
  <c r="X4" i="2" s="1"/>
  <c r="J5" i="2"/>
  <c r="K5" i="2"/>
  <c r="L5" i="2"/>
  <c r="M5" i="2"/>
  <c r="O5" i="2" s="1"/>
  <c r="V5" i="2"/>
  <c r="W5" i="2" s="1"/>
  <c r="X5" i="2" s="1"/>
  <c r="J6" i="2"/>
  <c r="L6" i="2" s="1"/>
  <c r="K6" i="2"/>
  <c r="M6" i="2"/>
  <c r="O6" i="2" s="1"/>
  <c r="V6" i="2"/>
  <c r="W6" i="2" s="1"/>
  <c r="X6" i="2" s="1"/>
  <c r="J7" i="2"/>
  <c r="L7" i="2" s="1"/>
  <c r="K7" i="2"/>
  <c r="M7" i="2"/>
  <c r="O7" i="2"/>
  <c r="V7" i="2"/>
  <c r="J8" i="2"/>
  <c r="K8" i="2"/>
  <c r="L8" i="2"/>
  <c r="M8" i="2"/>
  <c r="O8" i="2" s="1"/>
  <c r="V8" i="2"/>
  <c r="W8" i="2" s="1"/>
  <c r="X8" i="2" s="1"/>
  <c r="J9" i="2"/>
  <c r="L9" i="2" s="1"/>
  <c r="K9" i="2"/>
  <c r="M9" i="2"/>
  <c r="O9" i="2" s="1"/>
  <c r="V9" i="2"/>
  <c r="W9" i="2" s="1"/>
  <c r="X9" i="2" s="1"/>
  <c r="J10" i="2"/>
  <c r="K10" i="2"/>
  <c r="L10" i="2"/>
  <c r="M10" i="2"/>
  <c r="O10" i="2" s="1"/>
  <c r="V10" i="2"/>
  <c r="W10" i="2" s="1"/>
  <c r="X10" i="2" s="1"/>
  <c r="J11" i="2"/>
  <c r="K11" i="2"/>
  <c r="L11" i="2"/>
  <c r="V11" i="2" s="1"/>
  <c r="W11" i="2" s="1"/>
  <c r="X11" i="2" s="1"/>
  <c r="M11" i="2"/>
  <c r="O11" i="2" s="1"/>
  <c r="J12" i="2"/>
  <c r="L12" i="2" s="1"/>
  <c r="V12" i="2" s="1"/>
  <c r="W12" i="2" s="1"/>
  <c r="X12" i="2" s="1"/>
  <c r="K12" i="2"/>
  <c r="M12" i="2"/>
  <c r="O12" i="2" s="1"/>
  <c r="J13" i="2"/>
  <c r="K13" i="2"/>
  <c r="L13" i="2"/>
  <c r="M13" i="2"/>
  <c r="O13" i="2" s="1"/>
  <c r="V13" i="2"/>
  <c r="W13" i="2" s="1"/>
  <c r="X13" i="2"/>
  <c r="J14" i="2"/>
  <c r="K14" i="2"/>
  <c r="L14" i="2"/>
  <c r="V14" i="2" s="1"/>
  <c r="W14" i="2" s="1"/>
  <c r="M14" i="2"/>
  <c r="O14" i="2" s="1"/>
  <c r="X14" i="2"/>
  <c r="J15" i="2"/>
  <c r="L15" i="2" s="1"/>
  <c r="V15" i="2" s="1"/>
  <c r="W15" i="2" s="1"/>
  <c r="X15" i="2" s="1"/>
  <c r="K15" i="2"/>
  <c r="M15" i="2"/>
  <c r="O15" i="2" s="1"/>
  <c r="J16" i="2"/>
  <c r="K16" i="2"/>
  <c r="L16" i="2"/>
  <c r="M16" i="2"/>
  <c r="O16" i="2" s="1"/>
  <c r="V16" i="2"/>
  <c r="W16" i="2" s="1"/>
  <c r="X16" i="2" s="1"/>
  <c r="J17" i="2"/>
  <c r="K17" i="2"/>
  <c r="L17" i="2"/>
  <c r="M17" i="2"/>
  <c r="O17" i="2" s="1"/>
  <c r="V17" i="2"/>
  <c r="W17" i="2" s="1"/>
  <c r="X17" i="2" s="1"/>
  <c r="J18" i="2"/>
  <c r="L18" i="2" s="1"/>
  <c r="V18" i="2" s="1"/>
  <c r="K18" i="2"/>
  <c r="M18" i="2"/>
  <c r="O18" i="2" s="1"/>
  <c r="W18" i="2"/>
  <c r="X18" i="2" s="1"/>
  <c r="J19" i="2"/>
  <c r="K19" i="2"/>
  <c r="L19" i="2"/>
  <c r="M19" i="2"/>
  <c r="O19" i="2"/>
  <c r="V19" i="2"/>
  <c r="W19" i="2" s="1"/>
  <c r="X19" i="2"/>
  <c r="J20" i="2"/>
  <c r="K20" i="2"/>
  <c r="L20" i="2"/>
  <c r="M20" i="2"/>
  <c r="O20" i="2" s="1"/>
  <c r="V20" i="2"/>
  <c r="W20" i="2" s="1"/>
  <c r="X20" i="2"/>
  <c r="J21" i="2"/>
  <c r="L21" i="2" s="1"/>
  <c r="K21" i="2"/>
  <c r="M21" i="2"/>
  <c r="O21" i="2" s="1"/>
  <c r="V21" i="2"/>
  <c r="W21" i="2" s="1"/>
  <c r="X21" i="2"/>
  <c r="J22" i="2"/>
  <c r="K22" i="2"/>
  <c r="L22" i="2"/>
  <c r="M22" i="2"/>
  <c r="O22" i="2" s="1"/>
  <c r="V22" i="2"/>
  <c r="W22" i="2" s="1"/>
  <c r="X22" i="2" s="1"/>
  <c r="J23" i="2"/>
  <c r="K23" i="2"/>
  <c r="L23" i="2"/>
  <c r="V23" i="2" s="1"/>
  <c r="W23" i="2" s="1"/>
  <c r="X23" i="2" s="1"/>
  <c r="M23" i="2"/>
  <c r="O23" i="2" s="1"/>
  <c r="J24" i="2"/>
  <c r="L24" i="2" s="1"/>
  <c r="K24" i="2"/>
  <c r="M24" i="2"/>
  <c r="O24" i="2" s="1"/>
  <c r="V24" i="2"/>
  <c r="W24" i="2"/>
  <c r="X24" i="2" s="1"/>
  <c r="J25" i="2"/>
  <c r="K25" i="2"/>
  <c r="L25" i="2"/>
  <c r="M25" i="2"/>
  <c r="O25" i="2"/>
  <c r="V25" i="2"/>
  <c r="W25" i="2" s="1"/>
  <c r="X25" i="2" s="1"/>
  <c r="J26" i="2"/>
  <c r="K26" i="2"/>
  <c r="L26" i="2"/>
  <c r="M26" i="2"/>
  <c r="O26" i="2" s="1"/>
  <c r="V26" i="2"/>
  <c r="W26" i="2" s="1"/>
  <c r="X26" i="2" s="1"/>
  <c r="J27" i="2"/>
  <c r="L27" i="2" s="1"/>
  <c r="K27" i="2"/>
  <c r="M27" i="2"/>
  <c r="O27" i="2" s="1"/>
  <c r="V27" i="2"/>
  <c r="W27" i="2" s="1"/>
  <c r="X27" i="2" s="1"/>
  <c r="J28" i="2"/>
  <c r="K28" i="2"/>
  <c r="L28" i="2"/>
  <c r="M28" i="2"/>
  <c r="O28" i="2" s="1"/>
  <c r="V28" i="2"/>
  <c r="W28" i="2" s="1"/>
  <c r="X28" i="2" s="1"/>
  <c r="J29" i="2"/>
  <c r="K29" i="2"/>
  <c r="L29" i="2"/>
  <c r="V29" i="2" s="1"/>
  <c r="W29" i="2" s="1"/>
  <c r="X29" i="2" s="1"/>
  <c r="M29" i="2"/>
  <c r="O29" i="2" s="1"/>
  <c r="J30" i="2"/>
  <c r="L30" i="2" s="1"/>
  <c r="V30" i="2" s="1"/>
  <c r="W30" i="2" s="1"/>
  <c r="X30" i="2" s="1"/>
  <c r="K30" i="2"/>
  <c r="M30" i="2"/>
  <c r="O30" i="2" s="1"/>
  <c r="J31" i="2"/>
  <c r="K31" i="2"/>
  <c r="L31" i="2"/>
  <c r="M31" i="2"/>
  <c r="O31" i="2" s="1"/>
  <c r="V31" i="2"/>
  <c r="W31" i="2" s="1"/>
  <c r="X31" i="2"/>
  <c r="J32" i="2"/>
  <c r="K32" i="2"/>
  <c r="L32" i="2"/>
  <c r="V32" i="2" s="1"/>
  <c r="W32" i="2" s="1"/>
  <c r="M32" i="2"/>
  <c r="O32" i="2" s="1"/>
  <c r="X32" i="2"/>
  <c r="J33" i="2"/>
  <c r="L33" i="2" s="1"/>
  <c r="V33" i="2" s="1"/>
  <c r="W33" i="2" s="1"/>
  <c r="X33" i="2" s="1"/>
  <c r="K33" i="2"/>
  <c r="M33" i="2"/>
  <c r="O33" i="2" s="1"/>
  <c r="J34" i="2"/>
  <c r="L34" i="2" s="1"/>
  <c r="V34" i="2" s="1"/>
  <c r="W34" i="2" s="1"/>
  <c r="K34" i="2"/>
  <c r="M34" i="2"/>
  <c r="O34" i="2" s="1"/>
  <c r="X34" i="2"/>
  <c r="J35" i="2"/>
  <c r="K35" i="2"/>
  <c r="L35" i="2"/>
  <c r="V35" i="2" s="1"/>
  <c r="W35" i="2" s="1"/>
  <c r="M35" i="2"/>
  <c r="O35" i="2" s="1"/>
  <c r="X35" i="2"/>
  <c r="J36" i="2"/>
  <c r="L36" i="2" s="1"/>
  <c r="V36" i="2" s="1"/>
  <c r="W36" i="2" s="1"/>
  <c r="X36" i="2" s="1"/>
  <c r="K36" i="2"/>
  <c r="M36" i="2"/>
  <c r="O36" i="2" s="1"/>
  <c r="J37" i="2"/>
  <c r="L37" i="2" s="1"/>
  <c r="V37" i="2" s="1"/>
  <c r="K37" i="2"/>
  <c r="M37" i="2"/>
  <c r="O37" i="2" s="1"/>
  <c r="W37" i="2" s="1"/>
  <c r="X37" i="2" s="1"/>
  <c r="U37" i="2"/>
  <c r="J38" i="2"/>
  <c r="K38" i="2"/>
  <c r="L38" i="2"/>
  <c r="V38" i="2" s="1"/>
  <c r="M38" i="2"/>
  <c r="O38" i="2"/>
  <c r="W38" i="2"/>
  <c r="X38" i="2" s="1"/>
  <c r="J39" i="2"/>
  <c r="L39" i="2" s="1"/>
  <c r="V39" i="2" s="1"/>
  <c r="K39" i="2"/>
  <c r="M39" i="2"/>
  <c r="O39" i="2"/>
  <c r="W39" i="2"/>
  <c r="X39" i="2" s="1"/>
  <c r="J40" i="2"/>
  <c r="L40" i="2" s="1"/>
  <c r="V40" i="2" s="1"/>
  <c r="K40" i="2"/>
  <c r="M40" i="2"/>
  <c r="O40" i="2" s="1"/>
  <c r="U40" i="2"/>
  <c r="J41" i="2"/>
  <c r="L41" i="2" s="1"/>
  <c r="K41" i="2"/>
  <c r="M41" i="2"/>
  <c r="O41" i="2" s="1"/>
  <c r="V41" i="2"/>
  <c r="W41" i="2" s="1"/>
  <c r="X41" i="2" s="1"/>
  <c r="J42" i="2"/>
  <c r="L42" i="2" s="1"/>
  <c r="K42" i="2"/>
  <c r="M42" i="2"/>
  <c r="O42" i="2"/>
  <c r="V42" i="2"/>
  <c r="W42" i="2" s="1"/>
  <c r="X42" i="2" s="1"/>
  <c r="J43" i="2"/>
  <c r="K43" i="2"/>
  <c r="L43" i="2"/>
  <c r="M43" i="2"/>
  <c r="O43" i="2" s="1"/>
  <c r="V43" i="2"/>
  <c r="W43" i="2" s="1"/>
  <c r="X43" i="2" s="1"/>
  <c r="J44" i="2"/>
  <c r="L44" i="2" s="1"/>
  <c r="K44" i="2"/>
  <c r="M44" i="2"/>
  <c r="O44" i="2" s="1"/>
  <c r="V44" i="2"/>
  <c r="W44" i="2" s="1"/>
  <c r="X44" i="2" s="1"/>
  <c r="J45" i="2"/>
  <c r="K45" i="2"/>
  <c r="L45" i="2"/>
  <c r="M45" i="2"/>
  <c r="O45" i="2" s="1"/>
  <c r="V45" i="2"/>
  <c r="W45" i="2" s="1"/>
  <c r="X45" i="2" s="1"/>
  <c r="J46" i="2"/>
  <c r="K46" i="2"/>
  <c r="L46" i="2"/>
  <c r="V46" i="2" s="1"/>
  <c r="W46" i="2" s="1"/>
  <c r="X46" i="2" s="1"/>
  <c r="M46" i="2"/>
  <c r="O46" i="2" s="1"/>
  <c r="J47" i="2"/>
  <c r="L47" i="2" s="1"/>
  <c r="V47" i="2" s="1"/>
  <c r="W47" i="2" s="1"/>
  <c r="X47" i="2" s="1"/>
  <c r="K47" i="2"/>
  <c r="M47" i="2"/>
  <c r="O47" i="2" s="1"/>
  <c r="J48" i="2"/>
  <c r="L48" i="2" s="1"/>
  <c r="V48" i="2" s="1"/>
  <c r="W48" i="2" s="1"/>
  <c r="X48" i="2" s="1"/>
  <c r="K48" i="2"/>
  <c r="M48" i="2"/>
  <c r="O48" i="2" s="1"/>
  <c r="J49" i="2"/>
  <c r="K49" i="2"/>
  <c r="L49" i="2"/>
  <c r="V49" i="2" s="1"/>
  <c r="W49" i="2" s="1"/>
  <c r="X49" i="2" s="1"/>
  <c r="M49" i="2"/>
  <c r="O49" i="2" s="1"/>
  <c r="J50" i="2"/>
  <c r="L50" i="2" s="1"/>
  <c r="V50" i="2" s="1"/>
  <c r="W50" i="2" s="1"/>
  <c r="X50" i="2" s="1"/>
  <c r="K50" i="2"/>
  <c r="M50" i="2"/>
  <c r="O50" i="2" s="1"/>
  <c r="J51" i="2"/>
  <c r="L51" i="2" s="1"/>
  <c r="V51" i="2" s="1"/>
  <c r="W51" i="2" s="1"/>
  <c r="X51" i="2" s="1"/>
  <c r="K51" i="2"/>
  <c r="M51" i="2"/>
  <c r="O51" i="2" s="1"/>
  <c r="J52" i="2"/>
  <c r="K52" i="2"/>
  <c r="L52" i="2"/>
  <c r="V52" i="2" s="1"/>
  <c r="W52" i="2" s="1"/>
  <c r="X52" i="2" s="1"/>
  <c r="M52" i="2"/>
  <c r="O52" i="2" s="1"/>
  <c r="J53" i="2"/>
  <c r="L53" i="2" s="1"/>
  <c r="V53" i="2" s="1"/>
  <c r="W53" i="2" s="1"/>
  <c r="X53" i="2" s="1"/>
  <c r="K53" i="2"/>
  <c r="M53" i="2"/>
  <c r="O53" i="2" s="1"/>
  <c r="J54" i="2"/>
  <c r="L54" i="2" s="1"/>
  <c r="V54" i="2" s="1"/>
  <c r="W54" i="2" s="1"/>
  <c r="X54" i="2" s="1"/>
  <c r="K54" i="2"/>
  <c r="M54" i="2"/>
  <c r="O54" i="2" s="1"/>
  <c r="J55" i="2"/>
  <c r="K55" i="2"/>
  <c r="L55" i="2"/>
  <c r="V55" i="2" s="1"/>
  <c r="W55" i="2" s="1"/>
  <c r="X55" i="2" s="1"/>
  <c r="M55" i="2"/>
  <c r="O55" i="2" s="1"/>
  <c r="J56" i="2"/>
  <c r="L56" i="2" s="1"/>
  <c r="V56" i="2" s="1"/>
  <c r="W56" i="2" s="1"/>
  <c r="X56" i="2" s="1"/>
  <c r="K56" i="2"/>
  <c r="M56" i="2"/>
  <c r="O56" i="2" s="1"/>
  <c r="J57" i="2"/>
  <c r="L57" i="2" s="1"/>
  <c r="V57" i="2" s="1"/>
  <c r="W57" i="2" s="1"/>
  <c r="X57" i="2" s="1"/>
  <c r="K57" i="2"/>
  <c r="M57" i="2"/>
  <c r="O57" i="2" s="1"/>
  <c r="J58" i="2"/>
  <c r="K58" i="2"/>
  <c r="L58" i="2"/>
  <c r="V58" i="2" s="1"/>
  <c r="W58" i="2" s="1"/>
  <c r="X58" i="2" s="1"/>
  <c r="M58" i="2"/>
  <c r="O58" i="2" s="1"/>
  <c r="J59" i="2"/>
  <c r="L59" i="2" s="1"/>
  <c r="V59" i="2" s="1"/>
  <c r="W59" i="2" s="1"/>
  <c r="X59" i="2" s="1"/>
  <c r="K59" i="2"/>
  <c r="M59" i="2"/>
  <c r="O59" i="2" s="1"/>
  <c r="J60" i="2"/>
  <c r="L60" i="2" s="1"/>
  <c r="V60" i="2" s="1"/>
  <c r="W60" i="2" s="1"/>
  <c r="X60" i="2" s="1"/>
  <c r="K60" i="2"/>
  <c r="M60" i="2"/>
  <c r="O60" i="2" s="1"/>
  <c r="J61" i="2"/>
  <c r="K61" i="2"/>
  <c r="L61" i="2"/>
  <c r="V61" i="2" s="1"/>
  <c r="W61" i="2" s="1"/>
  <c r="X61" i="2" s="1"/>
  <c r="M61" i="2"/>
  <c r="O61" i="2" s="1"/>
  <c r="J62" i="2"/>
  <c r="L62" i="2" s="1"/>
  <c r="V62" i="2" s="1"/>
  <c r="W62" i="2" s="1"/>
  <c r="X62" i="2" s="1"/>
  <c r="K62" i="2"/>
  <c r="M62" i="2"/>
  <c r="O62" i="2" s="1"/>
  <c r="J63" i="2"/>
  <c r="L63" i="2" s="1"/>
  <c r="V63" i="2" s="1"/>
  <c r="W63" i="2" s="1"/>
  <c r="X63" i="2" s="1"/>
  <c r="K63" i="2"/>
  <c r="M63" i="2"/>
  <c r="O63" i="2" s="1"/>
  <c r="J64" i="2"/>
  <c r="K64" i="2"/>
  <c r="L64" i="2"/>
  <c r="V64" i="2" s="1"/>
  <c r="W64" i="2" s="1"/>
  <c r="X64" i="2" s="1"/>
  <c r="M64" i="2"/>
  <c r="O64" i="2" s="1"/>
  <c r="J65" i="2"/>
  <c r="L65" i="2" s="1"/>
  <c r="V65" i="2" s="1"/>
  <c r="W65" i="2" s="1"/>
  <c r="X65" i="2" s="1"/>
  <c r="K65" i="2"/>
  <c r="M65" i="2"/>
  <c r="O65" i="2" s="1"/>
  <c r="J66" i="2"/>
  <c r="L66" i="2" s="1"/>
  <c r="V66" i="2" s="1"/>
  <c r="W66" i="2" s="1"/>
  <c r="X66" i="2" s="1"/>
  <c r="K66" i="2"/>
  <c r="M66" i="2"/>
  <c r="O66" i="2" s="1"/>
  <c r="J67" i="2"/>
  <c r="K67" i="2"/>
  <c r="L67" i="2"/>
  <c r="V67" i="2" s="1"/>
  <c r="W67" i="2" s="1"/>
  <c r="X67" i="2" s="1"/>
  <c r="M67" i="2"/>
  <c r="O67" i="2" s="1"/>
  <c r="J68" i="2"/>
  <c r="L68" i="2" s="1"/>
  <c r="V68" i="2" s="1"/>
  <c r="W68" i="2" s="1"/>
  <c r="X68" i="2" s="1"/>
  <c r="K68" i="2"/>
  <c r="M68" i="2"/>
  <c r="O68" i="2" s="1"/>
  <c r="J69" i="2"/>
  <c r="L69" i="2" s="1"/>
  <c r="V69" i="2" s="1"/>
  <c r="W69" i="2" s="1"/>
  <c r="X69" i="2" s="1"/>
  <c r="K69" i="2"/>
  <c r="M69" i="2"/>
  <c r="O69" i="2" s="1"/>
  <c r="J70" i="2"/>
  <c r="K70" i="2"/>
  <c r="L70" i="2"/>
  <c r="V70" i="2" s="1"/>
  <c r="W70" i="2" s="1"/>
  <c r="X70" i="2" s="1"/>
  <c r="M70" i="2"/>
  <c r="O70" i="2" s="1"/>
  <c r="J71" i="2"/>
  <c r="L71" i="2" s="1"/>
  <c r="V71" i="2" s="1"/>
  <c r="W71" i="2" s="1"/>
  <c r="X71" i="2" s="1"/>
  <c r="K71" i="2"/>
  <c r="M71" i="2"/>
  <c r="O71" i="2" s="1"/>
  <c r="J72" i="2"/>
  <c r="K72" i="2"/>
  <c r="L72" i="2"/>
  <c r="M72" i="2"/>
  <c r="O72" i="2" s="1"/>
  <c r="V72" i="2"/>
  <c r="W72" i="2" s="1"/>
  <c r="X72" i="2"/>
  <c r="J73" i="2"/>
  <c r="K73" i="2"/>
  <c r="L73" i="2"/>
  <c r="V73" i="2" s="1"/>
  <c r="W73" i="2" s="1"/>
  <c r="M73" i="2"/>
  <c r="O73" i="2" s="1"/>
  <c r="X73" i="2"/>
  <c r="J74" i="2"/>
  <c r="L74" i="2" s="1"/>
  <c r="V74" i="2" s="1"/>
  <c r="W74" i="2" s="1"/>
  <c r="K74" i="2"/>
  <c r="M74" i="2"/>
  <c r="O74" i="2" s="1"/>
  <c r="X74" i="2"/>
  <c r="J75" i="2"/>
  <c r="K75" i="2"/>
  <c r="L75" i="2"/>
  <c r="M75" i="2"/>
  <c r="O75" i="2" s="1"/>
  <c r="V75" i="2"/>
  <c r="W75" i="2" s="1"/>
  <c r="X75" i="2" s="1"/>
  <c r="J76" i="2"/>
  <c r="K76" i="2"/>
  <c r="L76" i="2"/>
  <c r="M76" i="2"/>
  <c r="O76" i="2" s="1"/>
  <c r="V76" i="2"/>
  <c r="W76" i="2" s="1"/>
  <c r="X76" i="2" s="1"/>
  <c r="J77" i="2"/>
  <c r="L77" i="2" s="1"/>
  <c r="V77" i="2" s="1"/>
  <c r="K77" i="2"/>
  <c r="M77" i="2"/>
  <c r="O77" i="2" s="1"/>
  <c r="W77" i="2"/>
  <c r="X77" i="2" s="1"/>
  <c r="J78" i="2"/>
  <c r="K78" i="2"/>
  <c r="L78" i="2"/>
  <c r="M78" i="2"/>
  <c r="O78" i="2"/>
  <c r="V78" i="2"/>
  <c r="W78" i="2" s="1"/>
  <c r="X78" i="2"/>
  <c r="J79" i="2"/>
  <c r="K79" i="2"/>
  <c r="L79" i="2"/>
  <c r="M79" i="2"/>
  <c r="O79" i="2" s="1"/>
  <c r="V79" i="2"/>
  <c r="W79" i="2" s="1"/>
  <c r="X79" i="2"/>
  <c r="J80" i="2"/>
  <c r="L80" i="2" s="1"/>
  <c r="K80" i="2"/>
  <c r="M80" i="2"/>
  <c r="O80" i="2" s="1"/>
  <c r="V80" i="2"/>
  <c r="W80" i="2" s="1"/>
  <c r="X80" i="2"/>
  <c r="J81" i="2"/>
  <c r="L81" i="2" s="1"/>
  <c r="V81" i="2" s="1"/>
  <c r="W81" i="2" s="1"/>
  <c r="K81" i="2"/>
  <c r="M81" i="2"/>
  <c r="O81" i="2"/>
  <c r="X81" i="2"/>
  <c r="J82" i="2"/>
  <c r="K82" i="2"/>
  <c r="L82" i="2"/>
  <c r="M82" i="2"/>
  <c r="O82" i="2" s="1"/>
  <c r="V82" i="2"/>
  <c r="W82" i="2" s="1"/>
  <c r="X82" i="2"/>
  <c r="J83" i="2"/>
  <c r="L83" i="2" s="1"/>
  <c r="K83" i="2"/>
  <c r="M83" i="2"/>
  <c r="O83" i="2" s="1"/>
  <c r="V83" i="2"/>
  <c r="W83" i="2" s="1"/>
  <c r="X83" i="2"/>
  <c r="J84" i="2"/>
  <c r="L84" i="2" s="1"/>
  <c r="V84" i="2" s="1"/>
  <c r="W84" i="2" s="1"/>
  <c r="X84" i="2" s="1"/>
  <c r="K84" i="2"/>
  <c r="M84" i="2"/>
  <c r="O84" i="2"/>
  <c r="J85" i="2"/>
  <c r="K85" i="2"/>
  <c r="L85" i="2"/>
  <c r="M85" i="2"/>
  <c r="O85" i="2"/>
  <c r="V85" i="2"/>
  <c r="W85" i="2" s="1"/>
  <c r="X85" i="2" s="1"/>
  <c r="J86" i="2"/>
  <c r="L86" i="2" s="1"/>
  <c r="K86" i="2"/>
  <c r="M86" i="2"/>
  <c r="O86" i="2"/>
  <c r="V86" i="2"/>
  <c r="W86" i="2" s="1"/>
  <c r="X86" i="2" s="1"/>
  <c r="J87" i="2"/>
  <c r="L87" i="2" s="1"/>
  <c r="K87" i="2"/>
  <c r="M87" i="2"/>
  <c r="O87" i="2"/>
  <c r="V87" i="2"/>
  <c r="W87" i="2" s="1"/>
  <c r="X87" i="2" s="1"/>
  <c r="J88" i="2"/>
  <c r="K88" i="2"/>
  <c r="L88" i="2"/>
  <c r="M88" i="2"/>
  <c r="O88" i="2" s="1"/>
  <c r="V88" i="2"/>
  <c r="W88" i="2" s="1"/>
  <c r="X88" i="2" s="1"/>
  <c r="J89" i="2"/>
  <c r="L89" i="2" s="1"/>
  <c r="K89" i="2"/>
  <c r="M89" i="2"/>
  <c r="O89" i="2" s="1"/>
  <c r="V89" i="2"/>
  <c r="W89" i="2" s="1"/>
  <c r="X89" i="2" s="1"/>
  <c r="J90" i="2"/>
  <c r="L90" i="2" s="1"/>
  <c r="K90" i="2"/>
  <c r="M90" i="2"/>
  <c r="O90" i="2"/>
  <c r="V90" i="2"/>
  <c r="W90" i="2" s="1"/>
  <c r="X90" i="2" s="1"/>
  <c r="J91" i="2"/>
  <c r="K91" i="2"/>
  <c r="L91" i="2"/>
  <c r="V91" i="2" s="1"/>
  <c r="W91" i="2" s="1"/>
  <c r="X91" i="2" s="1"/>
  <c r="M91" i="2"/>
  <c r="O91" i="2" s="1"/>
  <c r="J92" i="2"/>
  <c r="K92" i="2"/>
  <c r="L92" i="2"/>
  <c r="V92" i="2" s="1"/>
  <c r="M92" i="2"/>
  <c r="O92" i="2" s="1"/>
  <c r="W92" i="2"/>
  <c r="X92" i="2" s="1"/>
  <c r="J93" i="2"/>
  <c r="L93" i="2" s="1"/>
  <c r="V93" i="2" s="1"/>
  <c r="K93" i="2"/>
  <c r="M93" i="2"/>
  <c r="O93" i="2"/>
  <c r="W93" i="2"/>
  <c r="X93" i="2" s="1"/>
  <c r="J94" i="2"/>
  <c r="K94" i="2"/>
  <c r="L94" i="2"/>
  <c r="M94" i="2"/>
  <c r="O94" i="2"/>
  <c r="V94" i="2"/>
  <c r="W94" i="2" s="1"/>
  <c r="X94" i="2" s="1"/>
  <c r="J95" i="2"/>
  <c r="L95" i="2" s="1"/>
  <c r="V95" i="2" s="1"/>
  <c r="W95" i="2" s="1"/>
  <c r="X95" i="2" s="1"/>
  <c r="K95" i="2"/>
  <c r="M95" i="2"/>
  <c r="O95" i="2" s="1"/>
  <c r="J96" i="2"/>
  <c r="L96" i="2" s="1"/>
  <c r="V96" i="2" s="1"/>
  <c r="W96" i="2" s="1"/>
  <c r="X96" i="2" s="1"/>
  <c r="K96" i="2"/>
  <c r="M96" i="2"/>
  <c r="O96" i="2"/>
  <c r="J97" i="2"/>
  <c r="K97" i="2"/>
  <c r="L97" i="2"/>
  <c r="M97" i="2"/>
  <c r="O97" i="2"/>
  <c r="V97" i="2"/>
  <c r="W97" i="2" s="1"/>
  <c r="X97" i="2" s="1"/>
  <c r="J98" i="2"/>
  <c r="L98" i="2" s="1"/>
  <c r="V98" i="2" s="1"/>
  <c r="W98" i="2" s="1"/>
  <c r="X98" i="2" s="1"/>
  <c r="K98" i="2"/>
  <c r="M98" i="2"/>
  <c r="O98" i="2" s="1"/>
  <c r="J99" i="2"/>
  <c r="L99" i="2" s="1"/>
  <c r="V99" i="2" s="1"/>
  <c r="W99" i="2" s="1"/>
  <c r="X99" i="2" s="1"/>
  <c r="K99" i="2"/>
  <c r="M99" i="2"/>
  <c r="O99" i="2"/>
  <c r="J100" i="2"/>
  <c r="K100" i="2"/>
  <c r="L100" i="2"/>
  <c r="V100" i="2" s="1"/>
  <c r="W100" i="2" s="1"/>
  <c r="X100" i="2" s="1"/>
  <c r="M100" i="2"/>
  <c r="O100" i="2"/>
  <c r="J101" i="2"/>
  <c r="K101" i="2"/>
  <c r="L101" i="2"/>
  <c r="V101" i="2" s="1"/>
  <c r="W101" i="2" s="1"/>
  <c r="X101" i="2" s="1"/>
  <c r="M101" i="2"/>
  <c r="O101" i="2" s="1"/>
  <c r="J102" i="2"/>
  <c r="L102" i="2" s="1"/>
  <c r="V102" i="2" s="1"/>
  <c r="K102" i="2"/>
  <c r="M102" i="2"/>
  <c r="O102" i="2"/>
  <c r="W102" i="2"/>
  <c r="X102" i="2" s="1"/>
  <c r="J103" i="2"/>
  <c r="K103" i="2"/>
  <c r="L103" i="2"/>
  <c r="V103" i="2" s="1"/>
  <c r="W103" i="2" s="1"/>
  <c r="X103" i="2" s="1"/>
  <c r="M103" i="2"/>
  <c r="O103" i="2"/>
  <c r="J104" i="2"/>
  <c r="K104" i="2"/>
  <c r="L104" i="2"/>
  <c r="V104" i="2" s="1"/>
  <c r="W104" i="2" s="1"/>
  <c r="X104" i="2" s="1"/>
  <c r="M104" i="2"/>
  <c r="O104" i="2" s="1"/>
  <c r="J105" i="2"/>
  <c r="L105" i="2" s="1"/>
  <c r="V105" i="2" s="1"/>
  <c r="K105" i="2"/>
  <c r="M105" i="2"/>
  <c r="O105" i="2"/>
  <c r="W105" i="2"/>
  <c r="X105" i="2" s="1"/>
  <c r="J106" i="2"/>
  <c r="K106" i="2"/>
  <c r="L106" i="2"/>
  <c r="V106" i="2" s="1"/>
  <c r="W106" i="2" s="1"/>
  <c r="X106" i="2" s="1"/>
  <c r="M106" i="2"/>
  <c r="O106" i="2"/>
  <c r="J107" i="2"/>
  <c r="K107" i="2"/>
  <c r="L107" i="2"/>
  <c r="V107" i="2" s="1"/>
  <c r="M107" i="2"/>
  <c r="O107" i="2" s="1"/>
  <c r="W107" i="2"/>
  <c r="X107" i="2" s="1"/>
  <c r="J108" i="2"/>
  <c r="L108" i="2" s="1"/>
  <c r="V108" i="2" s="1"/>
  <c r="K108" i="2"/>
  <c r="M108" i="2"/>
  <c r="O108" i="2"/>
  <c r="W108" i="2"/>
  <c r="X108" i="2"/>
  <c r="J109" i="2"/>
  <c r="K109" i="2"/>
  <c r="L109" i="2"/>
  <c r="M109" i="2"/>
  <c r="O109" i="2"/>
  <c r="V109" i="2"/>
  <c r="W109" i="2" s="1"/>
  <c r="X109" i="2" s="1"/>
  <c r="J110" i="2"/>
  <c r="L110" i="2" s="1"/>
  <c r="V110" i="2" s="1"/>
  <c r="W110" i="2" s="1"/>
  <c r="X110" i="2" s="1"/>
  <c r="K110" i="2"/>
  <c r="M110" i="2"/>
  <c r="O110" i="2" s="1"/>
  <c r="J111" i="2"/>
  <c r="L111" i="2" s="1"/>
  <c r="K111" i="2"/>
  <c r="M111" i="2"/>
  <c r="O111" i="2"/>
  <c r="V111" i="2"/>
  <c r="W111" i="2"/>
  <c r="X111" i="2" s="1"/>
  <c r="J112" i="2"/>
  <c r="K112" i="2"/>
  <c r="L112" i="2"/>
  <c r="V112" i="2" s="1"/>
  <c r="W112" i="2" s="1"/>
  <c r="X112" i="2" s="1"/>
  <c r="M112" i="2"/>
  <c r="O112" i="2"/>
  <c r="J113" i="2"/>
  <c r="K113" i="2"/>
  <c r="L113" i="2"/>
  <c r="V113" i="2" s="1"/>
  <c r="M113" i="2"/>
  <c r="O113" i="2" s="1"/>
  <c r="W113" i="2"/>
  <c r="X113" i="2" s="1"/>
  <c r="J114" i="2"/>
  <c r="L114" i="2" s="1"/>
  <c r="K114" i="2"/>
  <c r="M114" i="2"/>
  <c r="O114" i="2"/>
  <c r="V114" i="2"/>
  <c r="W114" i="2" s="1"/>
  <c r="X114" i="2" s="1"/>
  <c r="J115" i="2"/>
  <c r="K115" i="2"/>
  <c r="L115" i="2"/>
  <c r="V115" i="2" s="1"/>
  <c r="W115" i="2" s="1"/>
  <c r="X115" i="2" s="1"/>
  <c r="M115" i="2"/>
  <c r="O115" i="2" s="1"/>
  <c r="J116" i="2"/>
  <c r="L116" i="2" s="1"/>
  <c r="V116" i="2" s="1"/>
  <c r="W116" i="2" s="1"/>
  <c r="X116" i="2" s="1"/>
  <c r="K116" i="2"/>
  <c r="M116" i="2"/>
  <c r="O116" i="2" s="1"/>
  <c r="J117" i="2"/>
  <c r="L117" i="2" s="1"/>
  <c r="V117" i="2" s="1"/>
  <c r="W117" i="2" s="1"/>
  <c r="X117" i="2" s="1"/>
  <c r="K117" i="2"/>
  <c r="M117" i="2"/>
  <c r="O117" i="2"/>
  <c r="J118" i="2"/>
  <c r="K118" i="2"/>
  <c r="L118" i="2"/>
  <c r="V118" i="2" s="1"/>
  <c r="W118" i="2" s="1"/>
  <c r="X118" i="2" s="1"/>
  <c r="M118" i="2"/>
  <c r="O118" i="2" s="1"/>
  <c r="J119" i="2"/>
  <c r="L119" i="2" s="1"/>
  <c r="V119" i="2" s="1"/>
  <c r="W119" i="2" s="1"/>
  <c r="X119" i="2" s="1"/>
  <c r="K119" i="2"/>
  <c r="M119" i="2"/>
  <c r="O119" i="2" s="1"/>
  <c r="J120" i="2"/>
  <c r="L120" i="2" s="1"/>
  <c r="V120" i="2" s="1"/>
  <c r="W120" i="2" s="1"/>
  <c r="X120" i="2" s="1"/>
  <c r="K120" i="2"/>
  <c r="M120" i="2"/>
  <c r="O120" i="2"/>
  <c r="J121" i="2"/>
  <c r="K121" i="2"/>
  <c r="L121" i="2"/>
  <c r="V121" i="2" s="1"/>
  <c r="W121" i="2" s="1"/>
  <c r="X121" i="2" s="1"/>
  <c r="M121" i="2"/>
  <c r="O121" i="2" s="1"/>
  <c r="J122" i="2"/>
  <c r="L122" i="2" s="1"/>
  <c r="V122" i="2" s="1"/>
  <c r="W122" i="2" s="1"/>
  <c r="X122" i="2" s="1"/>
  <c r="K122" i="2"/>
  <c r="M122" i="2"/>
  <c r="O122" i="2" s="1"/>
  <c r="J123" i="2"/>
  <c r="L123" i="2" s="1"/>
  <c r="V123" i="2" s="1"/>
  <c r="W123" i="2" s="1"/>
  <c r="X123" i="2" s="1"/>
  <c r="K123" i="2"/>
  <c r="M123" i="2"/>
  <c r="O123" i="2"/>
  <c r="J124" i="2"/>
  <c r="K124" i="2"/>
  <c r="L124" i="2"/>
  <c r="V124" i="2" s="1"/>
  <c r="W124" i="2" s="1"/>
  <c r="X124" i="2" s="1"/>
  <c r="M124" i="2"/>
  <c r="O124" i="2" s="1"/>
  <c r="J125" i="2"/>
  <c r="L125" i="2" s="1"/>
  <c r="V125" i="2" s="1"/>
  <c r="W125" i="2" s="1"/>
  <c r="X125" i="2" s="1"/>
  <c r="K125" i="2"/>
  <c r="M125" i="2"/>
  <c r="O125" i="2" s="1"/>
  <c r="W40" i="2" l="1"/>
  <c r="X40" i="2" s="1"/>
  <c r="W7" i="2"/>
  <c r="X7" i="2" s="1"/>
  <c r="X1" i="2" s="1"/>
  <c r="M127" i="1" l="1"/>
  <c r="C127" i="1"/>
  <c r="M126" i="1"/>
  <c r="C126" i="1"/>
  <c r="M125" i="1"/>
  <c r="C125" i="1"/>
  <c r="M124" i="1"/>
  <c r="C124" i="1"/>
  <c r="M123" i="1"/>
  <c r="C123" i="1"/>
  <c r="M122" i="1"/>
  <c r="C122" i="1"/>
  <c r="M121" i="1"/>
  <c r="C121" i="1"/>
  <c r="M120" i="1"/>
  <c r="C120" i="1"/>
  <c r="M119" i="1"/>
  <c r="C119" i="1"/>
  <c r="M118" i="1"/>
  <c r="J118" i="1"/>
  <c r="I118" i="1"/>
  <c r="C118" i="1"/>
  <c r="M117" i="1"/>
  <c r="J117" i="1"/>
  <c r="C117" i="1"/>
  <c r="M116" i="1"/>
  <c r="J116" i="1"/>
  <c r="C116" i="1"/>
  <c r="M115" i="1"/>
  <c r="I115" i="1"/>
  <c r="J115" i="1" s="1"/>
  <c r="C115" i="1"/>
  <c r="P114" i="1"/>
  <c r="R114" i="1" s="1"/>
  <c r="N114" i="1"/>
  <c r="M114" i="1"/>
  <c r="J114" i="1"/>
  <c r="I114" i="1"/>
  <c r="O114" i="1" s="1"/>
  <c r="C114" i="1"/>
  <c r="P113" i="1"/>
  <c r="R113" i="1" s="1"/>
  <c r="O113" i="1"/>
  <c r="N113" i="1"/>
  <c r="M113" i="1"/>
  <c r="J113" i="1"/>
  <c r="I113" i="1"/>
  <c r="C113" i="1"/>
  <c r="N112" i="1"/>
  <c r="M112" i="1"/>
  <c r="I112" i="1"/>
  <c r="P112" i="1" s="1"/>
  <c r="R112" i="1" s="1"/>
  <c r="C112" i="1"/>
  <c r="P111" i="1"/>
  <c r="R111" i="1" s="1"/>
  <c r="N111" i="1"/>
  <c r="M111" i="1"/>
  <c r="J111" i="1"/>
  <c r="I111" i="1"/>
  <c r="O111" i="1" s="1"/>
  <c r="C111" i="1"/>
  <c r="P110" i="1"/>
  <c r="R110" i="1" s="1"/>
  <c r="O110" i="1"/>
  <c r="N110" i="1"/>
  <c r="M110" i="1"/>
  <c r="J110" i="1"/>
  <c r="I110" i="1"/>
  <c r="C110" i="1"/>
  <c r="R109" i="1"/>
  <c r="P109" i="1"/>
  <c r="N109" i="1"/>
  <c r="M109" i="1"/>
  <c r="O109" i="1" s="1"/>
  <c r="J109" i="1"/>
  <c r="C109" i="1"/>
  <c r="R108" i="1"/>
  <c r="P108" i="1"/>
  <c r="O108" i="1"/>
  <c r="N108" i="1"/>
  <c r="M108" i="1"/>
  <c r="J108" i="1"/>
  <c r="C108" i="1"/>
  <c r="P107" i="1"/>
  <c r="R107" i="1" s="1"/>
  <c r="N107" i="1"/>
  <c r="M107" i="1"/>
  <c r="O107" i="1" s="1"/>
  <c r="J107" i="1"/>
  <c r="C107" i="1"/>
  <c r="R106" i="1"/>
  <c r="P106" i="1"/>
  <c r="N106" i="1"/>
  <c r="M106" i="1"/>
  <c r="O106" i="1" s="1"/>
  <c r="J106" i="1"/>
  <c r="C106" i="1"/>
  <c r="P105" i="1"/>
  <c r="R105" i="1" s="1"/>
  <c r="O105" i="1"/>
  <c r="N105" i="1"/>
  <c r="M105" i="1"/>
  <c r="J105" i="1"/>
  <c r="C105" i="1"/>
  <c r="P104" i="1"/>
  <c r="R104" i="1" s="1"/>
  <c r="N104" i="1"/>
  <c r="M104" i="1"/>
  <c r="O104" i="1" s="1"/>
  <c r="J104" i="1"/>
  <c r="C104" i="1"/>
  <c r="R103" i="1"/>
  <c r="P103" i="1"/>
  <c r="O103" i="1"/>
  <c r="N103" i="1"/>
  <c r="M103" i="1"/>
  <c r="J103" i="1"/>
  <c r="C103" i="1"/>
  <c r="P102" i="1"/>
  <c r="R102" i="1" s="1"/>
  <c r="O102" i="1"/>
  <c r="N102" i="1"/>
  <c r="M102" i="1"/>
  <c r="J102" i="1"/>
  <c r="C102" i="1"/>
  <c r="M101" i="1"/>
  <c r="O101" i="1" s="1"/>
  <c r="J101" i="1"/>
  <c r="C101" i="1"/>
  <c r="R100" i="1"/>
  <c r="P100" i="1"/>
  <c r="O100" i="1"/>
  <c r="N100" i="1"/>
  <c r="M100" i="1"/>
  <c r="J100" i="1"/>
  <c r="C100" i="1"/>
  <c r="P99" i="1"/>
  <c r="R99" i="1" s="1"/>
  <c r="O99" i="1"/>
  <c r="N99" i="1"/>
  <c r="M99" i="1"/>
  <c r="J99" i="1"/>
  <c r="C99" i="1"/>
  <c r="P98" i="1"/>
  <c r="R98" i="1" s="1"/>
  <c r="N98" i="1"/>
  <c r="M98" i="1"/>
  <c r="O98" i="1" s="1"/>
  <c r="J98" i="1"/>
  <c r="C98" i="1"/>
  <c r="R97" i="1"/>
  <c r="P97" i="1"/>
  <c r="N97" i="1"/>
  <c r="M97" i="1"/>
  <c r="O97" i="1" s="1"/>
  <c r="J97" i="1"/>
  <c r="C97" i="1"/>
  <c r="R96" i="1"/>
  <c r="P96" i="1"/>
  <c r="O96" i="1"/>
  <c r="N96" i="1"/>
  <c r="M96" i="1"/>
  <c r="J96" i="1"/>
  <c r="C96" i="1"/>
  <c r="P95" i="1"/>
  <c r="R95" i="1" s="1"/>
  <c r="N95" i="1"/>
  <c r="M95" i="1"/>
  <c r="O95" i="1" s="1"/>
  <c r="J95" i="1"/>
  <c r="C95" i="1"/>
  <c r="R94" i="1"/>
  <c r="P94" i="1"/>
  <c r="O94" i="1"/>
  <c r="N94" i="1"/>
  <c r="M94" i="1"/>
  <c r="J94" i="1"/>
  <c r="C94" i="1"/>
  <c r="P93" i="1"/>
  <c r="R93" i="1" s="1"/>
  <c r="O93" i="1"/>
  <c r="N93" i="1"/>
  <c r="M93" i="1"/>
  <c r="J93" i="1"/>
  <c r="C93" i="1"/>
  <c r="P92" i="1"/>
  <c r="R92" i="1" s="1"/>
  <c r="N92" i="1"/>
  <c r="M92" i="1"/>
  <c r="O92" i="1" s="1"/>
  <c r="J92" i="1"/>
  <c r="C92" i="1"/>
  <c r="R91" i="1"/>
  <c r="P91" i="1"/>
  <c r="N91" i="1"/>
  <c r="M91" i="1"/>
  <c r="O91" i="1" s="1"/>
  <c r="J91" i="1"/>
  <c r="C91" i="1"/>
  <c r="R90" i="1"/>
  <c r="P90" i="1"/>
  <c r="O90" i="1"/>
  <c r="N90" i="1"/>
  <c r="M90" i="1"/>
  <c r="J90" i="1"/>
  <c r="C90" i="1"/>
  <c r="P89" i="1"/>
  <c r="R89" i="1" s="1"/>
  <c r="N89" i="1"/>
  <c r="M89" i="1"/>
  <c r="O89" i="1" s="1"/>
  <c r="J89" i="1"/>
  <c r="C89" i="1"/>
  <c r="R88" i="1"/>
  <c r="P88" i="1"/>
  <c r="O88" i="1"/>
  <c r="N88" i="1"/>
  <c r="M88" i="1"/>
  <c r="J88" i="1"/>
  <c r="C88" i="1"/>
  <c r="P87" i="1"/>
  <c r="R87" i="1" s="1"/>
  <c r="O87" i="1"/>
  <c r="N87" i="1"/>
  <c r="M87" i="1"/>
  <c r="J87" i="1"/>
  <c r="C87" i="1"/>
  <c r="P86" i="1"/>
  <c r="R86" i="1" s="1"/>
  <c r="N86" i="1"/>
  <c r="M86" i="1"/>
  <c r="O86" i="1" s="1"/>
  <c r="J86" i="1"/>
  <c r="C86" i="1"/>
  <c r="R85" i="1"/>
  <c r="P85" i="1"/>
  <c r="N85" i="1"/>
  <c r="M85" i="1"/>
  <c r="O85" i="1" s="1"/>
  <c r="J85" i="1"/>
  <c r="C85" i="1"/>
  <c r="R84" i="1"/>
  <c r="P84" i="1"/>
  <c r="O84" i="1"/>
  <c r="N84" i="1"/>
  <c r="M84" i="1"/>
  <c r="J84" i="1"/>
  <c r="C84" i="1"/>
  <c r="P83" i="1"/>
  <c r="R83" i="1" s="1"/>
  <c r="N83" i="1"/>
  <c r="M83" i="1"/>
  <c r="O83" i="1" s="1"/>
  <c r="J83" i="1"/>
  <c r="C83" i="1"/>
  <c r="R82" i="1"/>
  <c r="P82" i="1"/>
  <c r="O82" i="1"/>
  <c r="N82" i="1"/>
  <c r="M82" i="1"/>
  <c r="J82" i="1"/>
  <c r="C82" i="1"/>
  <c r="P81" i="1"/>
  <c r="R81" i="1" s="1"/>
  <c r="O81" i="1"/>
  <c r="N81" i="1"/>
  <c r="M81" i="1"/>
  <c r="J81" i="1"/>
  <c r="C81" i="1"/>
  <c r="P80" i="1"/>
  <c r="R80" i="1" s="1"/>
  <c r="N80" i="1"/>
  <c r="M80" i="1"/>
  <c r="O80" i="1" s="1"/>
  <c r="J80" i="1"/>
  <c r="C80" i="1"/>
  <c r="R79" i="1"/>
  <c r="P79" i="1"/>
  <c r="N79" i="1"/>
  <c r="M79" i="1"/>
  <c r="O79" i="1" s="1"/>
  <c r="J79" i="1"/>
  <c r="C79" i="1"/>
  <c r="R78" i="1"/>
  <c r="P78" i="1"/>
  <c r="O78" i="1"/>
  <c r="N78" i="1"/>
  <c r="M78" i="1"/>
  <c r="J78" i="1"/>
  <c r="C78" i="1"/>
  <c r="P77" i="1"/>
  <c r="R77" i="1" s="1"/>
  <c r="N77" i="1"/>
  <c r="M77" i="1"/>
  <c r="O77" i="1" s="1"/>
  <c r="J77" i="1"/>
  <c r="C77" i="1"/>
  <c r="O76" i="1"/>
  <c r="M76" i="1"/>
  <c r="J76" i="1"/>
  <c r="C76" i="1"/>
  <c r="R75" i="1"/>
  <c r="P75" i="1"/>
  <c r="O75" i="1"/>
  <c r="N75" i="1"/>
  <c r="M75" i="1"/>
  <c r="J75" i="1"/>
  <c r="C75" i="1"/>
  <c r="P74" i="1"/>
  <c r="R74" i="1" s="1"/>
  <c r="N74" i="1"/>
  <c r="M74" i="1"/>
  <c r="O74" i="1" s="1"/>
  <c r="J74" i="1"/>
  <c r="C74" i="1"/>
  <c r="R73" i="1"/>
  <c r="P73" i="1"/>
  <c r="O73" i="1"/>
  <c r="N73" i="1"/>
  <c r="M73" i="1"/>
  <c r="J73" i="1"/>
  <c r="C73" i="1"/>
  <c r="P72" i="1"/>
  <c r="R72" i="1" s="1"/>
  <c r="O72" i="1"/>
  <c r="N72" i="1"/>
  <c r="M72" i="1"/>
  <c r="J72" i="1"/>
  <c r="C72" i="1"/>
  <c r="P71" i="1"/>
  <c r="R71" i="1" s="1"/>
  <c r="N71" i="1"/>
  <c r="M71" i="1"/>
  <c r="O71" i="1" s="1"/>
  <c r="J71" i="1"/>
  <c r="C71" i="1"/>
  <c r="R70" i="1"/>
  <c r="P70" i="1"/>
  <c r="N70" i="1"/>
  <c r="M70" i="1"/>
  <c r="O70" i="1" s="1"/>
  <c r="J70" i="1"/>
  <c r="C70" i="1"/>
  <c r="P69" i="1"/>
  <c r="M69" i="1"/>
  <c r="O69" i="1" s="1"/>
  <c r="J69" i="1"/>
  <c r="C69" i="1"/>
  <c r="P68" i="1"/>
  <c r="O68" i="1"/>
  <c r="M68" i="1"/>
  <c r="J68" i="1"/>
  <c r="C68" i="1"/>
  <c r="P67" i="1"/>
  <c r="R67" i="1" s="1"/>
  <c r="N67" i="1"/>
  <c r="M67" i="1"/>
  <c r="O67" i="1" s="1"/>
  <c r="J67" i="1"/>
  <c r="C67" i="1"/>
  <c r="R66" i="1"/>
  <c r="P66" i="1"/>
  <c r="N66" i="1"/>
  <c r="M66" i="1"/>
  <c r="O66" i="1" s="1"/>
  <c r="J66" i="1"/>
  <c r="C66" i="1"/>
  <c r="P65" i="1"/>
  <c r="M65" i="1"/>
  <c r="O65" i="1" s="1"/>
  <c r="J65" i="1"/>
  <c r="C65" i="1"/>
  <c r="R64" i="1"/>
  <c r="P64" i="1"/>
  <c r="N64" i="1"/>
  <c r="M64" i="1"/>
  <c r="O64" i="1" s="1"/>
  <c r="J64" i="1"/>
  <c r="C64" i="1"/>
  <c r="R63" i="1"/>
  <c r="P63" i="1"/>
  <c r="O63" i="1"/>
  <c r="N63" i="1"/>
  <c r="M63" i="1"/>
  <c r="J63" i="1"/>
  <c r="C63" i="1"/>
  <c r="P62" i="1"/>
  <c r="R62" i="1" s="1"/>
  <c r="N62" i="1"/>
  <c r="M62" i="1"/>
  <c r="O62" i="1" s="1"/>
  <c r="J62" i="1"/>
  <c r="C62" i="1"/>
  <c r="R61" i="1"/>
  <c r="P61" i="1"/>
  <c r="O61" i="1"/>
  <c r="N61" i="1"/>
  <c r="M61" i="1"/>
  <c r="J61" i="1"/>
  <c r="C61" i="1"/>
  <c r="P60" i="1"/>
  <c r="R60" i="1" s="1"/>
  <c r="O60" i="1"/>
  <c r="N60" i="1"/>
  <c r="M60" i="1"/>
  <c r="J60" i="1"/>
  <c r="C60" i="1"/>
  <c r="P59" i="1"/>
  <c r="R59" i="1" s="1"/>
  <c r="N59" i="1"/>
  <c r="M59" i="1"/>
  <c r="O59" i="1" s="1"/>
  <c r="J59" i="1"/>
  <c r="C59" i="1"/>
  <c r="R58" i="1"/>
  <c r="P58" i="1"/>
  <c r="N58" i="1"/>
  <c r="M58" i="1"/>
  <c r="O58" i="1" s="1"/>
  <c r="J58" i="1"/>
  <c r="C58" i="1"/>
  <c r="R57" i="1"/>
  <c r="P57" i="1"/>
  <c r="O57" i="1"/>
  <c r="N57" i="1"/>
  <c r="M57" i="1"/>
  <c r="J57" i="1"/>
  <c r="C57" i="1"/>
  <c r="P56" i="1"/>
  <c r="R56" i="1" s="1"/>
  <c r="N56" i="1"/>
  <c r="M56" i="1"/>
  <c r="O56" i="1" s="1"/>
  <c r="J56" i="1"/>
  <c r="C56" i="1"/>
  <c r="R55" i="1"/>
  <c r="P55" i="1"/>
  <c r="O55" i="1"/>
  <c r="N55" i="1"/>
  <c r="M55" i="1"/>
  <c r="J55" i="1"/>
  <c r="C55" i="1"/>
  <c r="P54" i="1"/>
  <c r="R54" i="1" s="1"/>
  <c r="O54" i="1"/>
  <c r="N54" i="1"/>
  <c r="M54" i="1"/>
  <c r="J54" i="1"/>
  <c r="C54" i="1"/>
  <c r="P53" i="1"/>
  <c r="R53" i="1" s="1"/>
  <c r="N53" i="1"/>
  <c r="M53" i="1"/>
  <c r="O53" i="1" s="1"/>
  <c r="J53" i="1"/>
  <c r="C53" i="1"/>
  <c r="R52" i="1"/>
  <c r="P52" i="1"/>
  <c r="N52" i="1"/>
  <c r="M52" i="1"/>
  <c r="O52" i="1" s="1"/>
  <c r="J52" i="1"/>
  <c r="C52" i="1"/>
  <c r="R51" i="1"/>
  <c r="P51" i="1"/>
  <c r="O51" i="1"/>
  <c r="N51" i="1"/>
  <c r="M51" i="1"/>
  <c r="J51" i="1"/>
  <c r="C51" i="1"/>
  <c r="P50" i="1"/>
  <c r="R50" i="1" s="1"/>
  <c r="N50" i="1"/>
  <c r="M50" i="1"/>
  <c r="O50" i="1" s="1"/>
  <c r="J50" i="1"/>
  <c r="C50" i="1"/>
  <c r="R49" i="1"/>
  <c r="P49" i="1"/>
  <c r="O49" i="1"/>
  <c r="N49" i="1"/>
  <c r="M49" i="1"/>
  <c r="J49" i="1"/>
  <c r="C49" i="1"/>
  <c r="P48" i="1"/>
  <c r="R48" i="1" s="1"/>
  <c r="O48" i="1"/>
  <c r="N48" i="1"/>
  <c r="M48" i="1"/>
  <c r="J48" i="1"/>
  <c r="C48" i="1"/>
  <c r="P47" i="1"/>
  <c r="R47" i="1" s="1"/>
  <c r="N47" i="1"/>
  <c r="M47" i="1"/>
  <c r="O47" i="1" s="1"/>
  <c r="J47" i="1"/>
  <c r="C47" i="1"/>
  <c r="R46" i="1"/>
  <c r="P46" i="1"/>
  <c r="N46" i="1"/>
  <c r="M46" i="1"/>
  <c r="O46" i="1" s="1"/>
  <c r="J46" i="1"/>
  <c r="C46" i="1"/>
  <c r="R45" i="1"/>
  <c r="P45" i="1"/>
  <c r="O45" i="1"/>
  <c r="N45" i="1"/>
  <c r="M45" i="1"/>
  <c r="J45" i="1"/>
  <c r="C45" i="1"/>
  <c r="P44" i="1"/>
  <c r="R44" i="1" s="1"/>
  <c r="N44" i="1"/>
  <c r="M44" i="1"/>
  <c r="O44" i="1" s="1"/>
  <c r="J44" i="1"/>
  <c r="C44" i="1"/>
  <c r="R43" i="1"/>
  <c r="P43" i="1"/>
  <c r="O43" i="1"/>
  <c r="N43" i="1"/>
  <c r="M43" i="1"/>
  <c r="J43" i="1"/>
  <c r="C43" i="1"/>
  <c r="P42" i="1"/>
  <c r="R42" i="1" s="1"/>
  <c r="O42" i="1"/>
  <c r="N42" i="1"/>
  <c r="M42" i="1"/>
  <c r="J42" i="1"/>
  <c r="C42" i="1"/>
  <c r="P41" i="1"/>
  <c r="R41" i="1" s="1"/>
  <c r="N41" i="1"/>
  <c r="M41" i="1"/>
  <c r="O41" i="1" s="1"/>
  <c r="J41" i="1"/>
  <c r="C41" i="1"/>
  <c r="R40" i="1"/>
  <c r="P40" i="1"/>
  <c r="N40" i="1"/>
  <c r="M40" i="1"/>
  <c r="O40" i="1" s="1"/>
  <c r="J40" i="1"/>
  <c r="C40" i="1"/>
  <c r="R39" i="1"/>
  <c r="P39" i="1"/>
  <c r="O39" i="1"/>
  <c r="N39" i="1"/>
  <c r="M39" i="1"/>
  <c r="J39" i="1"/>
  <c r="C39" i="1"/>
  <c r="P38" i="1"/>
  <c r="R38" i="1" s="1"/>
  <c r="N38" i="1"/>
  <c r="M38" i="1"/>
  <c r="O38" i="1" s="1"/>
  <c r="J38" i="1"/>
  <c r="C38" i="1"/>
  <c r="R37" i="1"/>
  <c r="P37" i="1"/>
  <c r="O37" i="1"/>
  <c r="N37" i="1"/>
  <c r="M37" i="1"/>
  <c r="J37" i="1"/>
  <c r="C37" i="1"/>
  <c r="P36" i="1"/>
  <c r="R36" i="1" s="1"/>
  <c r="O36" i="1"/>
  <c r="N36" i="1"/>
  <c r="M36" i="1"/>
  <c r="C36" i="1"/>
  <c r="P35" i="1"/>
  <c r="R35" i="1" s="1"/>
  <c r="O35" i="1"/>
  <c r="N35" i="1"/>
  <c r="M35" i="1"/>
  <c r="C35" i="1"/>
  <c r="M34" i="1"/>
  <c r="J34" i="1"/>
  <c r="C34" i="1"/>
  <c r="R33" i="1"/>
  <c r="P33" i="1"/>
  <c r="O33" i="1"/>
  <c r="N33" i="1"/>
  <c r="M33" i="1"/>
  <c r="J33" i="1"/>
  <c r="C33" i="1"/>
  <c r="P32" i="1"/>
  <c r="R32" i="1" s="1"/>
  <c r="N32" i="1"/>
  <c r="M32" i="1"/>
  <c r="O32" i="1" s="1"/>
  <c r="J32" i="1"/>
  <c r="C32" i="1"/>
  <c r="R31" i="1"/>
  <c r="P31" i="1"/>
  <c r="O31" i="1"/>
  <c r="N31" i="1"/>
  <c r="M31" i="1"/>
  <c r="J31" i="1"/>
  <c r="C31" i="1"/>
  <c r="P30" i="1"/>
  <c r="R30" i="1" s="1"/>
  <c r="O30" i="1"/>
  <c r="N30" i="1"/>
  <c r="M30" i="1"/>
  <c r="J30" i="1"/>
  <c r="C30" i="1"/>
  <c r="P29" i="1"/>
  <c r="R29" i="1" s="1"/>
  <c r="N29" i="1"/>
  <c r="M29" i="1"/>
  <c r="O29" i="1" s="1"/>
  <c r="J29" i="1"/>
  <c r="C29" i="1"/>
  <c r="R28" i="1"/>
  <c r="P28" i="1"/>
  <c r="N28" i="1"/>
  <c r="M28" i="1"/>
  <c r="O28" i="1" s="1"/>
  <c r="J28" i="1"/>
  <c r="C28" i="1"/>
  <c r="R27" i="1"/>
  <c r="P27" i="1"/>
  <c r="O27" i="1"/>
  <c r="N27" i="1"/>
  <c r="M27" i="1"/>
  <c r="J27" i="1"/>
  <c r="C27" i="1"/>
  <c r="P26" i="1"/>
  <c r="R26" i="1" s="1"/>
  <c r="N26" i="1"/>
  <c r="M26" i="1"/>
  <c r="O26" i="1" s="1"/>
  <c r="J26" i="1"/>
  <c r="C26" i="1"/>
  <c r="R25" i="1"/>
  <c r="P25" i="1"/>
  <c r="O25" i="1"/>
  <c r="N25" i="1"/>
  <c r="M25" i="1"/>
  <c r="J25" i="1"/>
  <c r="C25" i="1"/>
  <c r="P24" i="1"/>
  <c r="R24" i="1" s="1"/>
  <c r="O24" i="1"/>
  <c r="N24" i="1"/>
  <c r="M24" i="1"/>
  <c r="J24" i="1"/>
  <c r="C24" i="1"/>
  <c r="P23" i="1"/>
  <c r="R23" i="1" s="1"/>
  <c r="N23" i="1"/>
  <c r="M23" i="1"/>
  <c r="O23" i="1" s="1"/>
  <c r="J23" i="1"/>
  <c r="C23" i="1"/>
  <c r="R22" i="1"/>
  <c r="P22" i="1"/>
  <c r="N22" i="1"/>
  <c r="M22" i="1"/>
  <c r="O22" i="1" s="1"/>
  <c r="J22" i="1"/>
  <c r="C22" i="1"/>
  <c r="R21" i="1"/>
  <c r="P21" i="1"/>
  <c r="O21" i="1"/>
  <c r="N21" i="1"/>
  <c r="M21" i="1"/>
  <c r="J21" i="1"/>
  <c r="C21" i="1"/>
  <c r="P20" i="1"/>
  <c r="R20" i="1" s="1"/>
  <c r="N20" i="1"/>
  <c r="M20" i="1"/>
  <c r="O20" i="1" s="1"/>
  <c r="J20" i="1"/>
  <c r="C20" i="1"/>
  <c r="R19" i="1"/>
  <c r="P19" i="1"/>
  <c r="O19" i="1"/>
  <c r="N19" i="1"/>
  <c r="M19" i="1"/>
  <c r="J19" i="1"/>
  <c r="C19" i="1"/>
  <c r="P18" i="1"/>
  <c r="R18" i="1" s="1"/>
  <c r="O18" i="1"/>
  <c r="N18" i="1"/>
  <c r="M18" i="1"/>
  <c r="J18" i="1"/>
  <c r="C18" i="1"/>
  <c r="P17" i="1"/>
  <c r="R17" i="1" s="1"/>
  <c r="N17" i="1"/>
  <c r="M17" i="1"/>
  <c r="O17" i="1" s="1"/>
  <c r="J17" i="1"/>
  <c r="C17" i="1"/>
  <c r="M16" i="1"/>
  <c r="I16" i="1"/>
  <c r="J16" i="1" s="1"/>
  <c r="C16" i="1"/>
  <c r="P15" i="1"/>
  <c r="R15" i="1" s="1"/>
  <c r="N15" i="1"/>
  <c r="M15" i="1"/>
  <c r="O15" i="1" s="1"/>
  <c r="J15" i="1"/>
  <c r="C15" i="1"/>
  <c r="N14" i="1"/>
  <c r="M14" i="1"/>
  <c r="I14" i="1"/>
  <c r="P14" i="1" s="1"/>
  <c r="R14" i="1" s="1"/>
  <c r="C14" i="1"/>
  <c r="P13" i="1"/>
  <c r="O13" i="1"/>
  <c r="M13" i="1"/>
  <c r="J13" i="1"/>
  <c r="C13" i="1"/>
  <c r="P12" i="1"/>
  <c r="R12" i="1" s="1"/>
  <c r="O12" i="1"/>
  <c r="N12" i="1"/>
  <c r="M12" i="1"/>
  <c r="J12" i="1"/>
  <c r="C12" i="1"/>
  <c r="P11" i="1"/>
  <c r="R11" i="1" s="1"/>
  <c r="N11" i="1"/>
  <c r="M11" i="1"/>
  <c r="O11" i="1" s="1"/>
  <c r="J11" i="1"/>
  <c r="C11" i="1"/>
  <c r="R10" i="1"/>
  <c r="P10" i="1"/>
  <c r="N10" i="1"/>
  <c r="M10" i="1"/>
  <c r="O10" i="1" s="1"/>
  <c r="J10" i="1"/>
  <c r="C10" i="1"/>
  <c r="R9" i="1"/>
  <c r="P9" i="1"/>
  <c r="O9" i="1"/>
  <c r="N9" i="1"/>
  <c r="M9" i="1"/>
  <c r="J9" i="1"/>
  <c r="C9" i="1"/>
  <c r="P8" i="1"/>
  <c r="R8" i="1" s="1"/>
  <c r="N8" i="1"/>
  <c r="M8" i="1"/>
  <c r="O8" i="1" s="1"/>
  <c r="J8" i="1"/>
  <c r="C8" i="1"/>
  <c r="R7" i="1"/>
  <c r="P7" i="1"/>
  <c r="O7" i="1"/>
  <c r="N7" i="1"/>
  <c r="M7" i="1"/>
  <c r="J7" i="1"/>
  <c r="C7" i="1"/>
  <c r="P6" i="1"/>
  <c r="R6" i="1" s="1"/>
  <c r="O6" i="1"/>
  <c r="N6" i="1"/>
  <c r="M6" i="1"/>
  <c r="J6" i="1"/>
  <c r="C6" i="1"/>
  <c r="P5" i="1"/>
  <c r="R5" i="1" s="1"/>
  <c r="N5" i="1"/>
  <c r="M5" i="1"/>
  <c r="O5" i="1" s="1"/>
  <c r="J5" i="1"/>
  <c r="C5" i="1"/>
  <c r="R4" i="1"/>
  <c r="P4" i="1"/>
  <c r="N4" i="1"/>
  <c r="M4" i="1"/>
  <c r="O4" i="1" s="1"/>
  <c r="J4" i="1"/>
  <c r="C4" i="1"/>
  <c r="R3" i="1"/>
  <c r="P3" i="1"/>
  <c r="O3" i="1"/>
  <c r="N3" i="1"/>
  <c r="M3" i="1"/>
  <c r="J3" i="1"/>
  <c r="C3" i="1"/>
  <c r="J14" i="1" l="1"/>
  <c r="O16" i="1"/>
  <c r="J112" i="1"/>
  <c r="N16" i="1"/>
  <c r="P16" i="1"/>
  <c r="R16" i="1" s="1"/>
  <c r="O14" i="1"/>
  <c r="O112" i="1"/>
</calcChain>
</file>

<file path=xl/sharedStrings.xml><?xml version="1.0" encoding="utf-8"?>
<sst xmlns="http://schemas.openxmlformats.org/spreadsheetml/2006/main" count="886" uniqueCount="131">
  <si>
    <t>Mesin</t>
  </si>
  <si>
    <t>kode div</t>
  </si>
  <si>
    <t>kode uk</t>
  </si>
  <si>
    <t>P</t>
  </si>
  <si>
    <t>L</t>
  </si>
  <si>
    <t>T</t>
  </si>
  <si>
    <t>kw</t>
  </si>
  <si>
    <t>Jenis</t>
  </si>
  <si>
    <t>Target (LBR)</t>
  </si>
  <si>
    <t>Target(m3)</t>
  </si>
  <si>
    <t>Org</t>
  </si>
  <si>
    <t>Jam</t>
  </si>
  <si>
    <t>menit</t>
  </si>
  <si>
    <t>Target/jam</t>
  </si>
  <si>
    <t>Target/menit</t>
  </si>
  <si>
    <t>Target/org</t>
  </si>
  <si>
    <t>Gaji</t>
  </si>
  <si>
    <t>Pot/lembar</t>
  </si>
  <si>
    <t>SPINDLESS</t>
  </si>
  <si>
    <t>RT-SP</t>
  </si>
  <si>
    <t>MERANTI</t>
  </si>
  <si>
    <t>RT-MR</t>
  </si>
  <si>
    <t>SANJI</t>
  </si>
  <si>
    <t>RT-SJ</t>
  </si>
  <si>
    <t>YUEQUN</t>
  </si>
  <si>
    <t>RT-YQ</t>
  </si>
  <si>
    <t>POT AF SIKU</t>
  </si>
  <si>
    <t>SP-PS</t>
  </si>
  <si>
    <t>DRYER PAGI</t>
  </si>
  <si>
    <t>DY-1</t>
  </si>
  <si>
    <t>DRYER MALAM</t>
  </si>
  <si>
    <t>DY-2</t>
  </si>
  <si>
    <t>BONGKAR</t>
  </si>
  <si>
    <t>kereta</t>
  </si>
  <si>
    <t>STIK</t>
  </si>
  <si>
    <t>8 kereta</t>
  </si>
  <si>
    <t>af</t>
  </si>
  <si>
    <t>6-7 kereta</t>
  </si>
  <si>
    <t>REPAIR</t>
  </si>
  <si>
    <t>s</t>
  </si>
  <si>
    <t>j</t>
  </si>
  <si>
    <t>wr</t>
  </si>
  <si>
    <t>JOINT</t>
  </si>
  <si>
    <t>m</t>
  </si>
  <si>
    <t>SANDING JOINT</t>
  </si>
  <si>
    <t>POT AFALAN JOINT</t>
  </si>
  <si>
    <t>HOTPRESS</t>
  </si>
  <si>
    <t>Platform</t>
  </si>
  <si>
    <t>Platfrom</t>
  </si>
  <si>
    <t>lps</t>
  </si>
  <si>
    <t>PILIH VENEER</t>
  </si>
  <si>
    <t>POT JELEK</t>
  </si>
  <si>
    <t>SP-PJ</t>
  </si>
  <si>
    <t>3 plt</t>
  </si>
  <si>
    <t>GUILLOTINE</t>
  </si>
  <si>
    <t>SP-GL</t>
  </si>
  <si>
    <t>balik platform</t>
  </si>
  <si>
    <t>Potong sebetan</t>
  </si>
  <si>
    <t>Plywood</t>
  </si>
  <si>
    <t>SANDING KECIL</t>
  </si>
  <si>
    <t>SANDING BESAR MALAM</t>
  </si>
  <si>
    <t>SANDING BESAR PAGI</t>
  </si>
  <si>
    <t>SANDING KECIL MALAM</t>
  </si>
  <si>
    <t>4x sanding target dibagi 2</t>
  </si>
  <si>
    <t>SANDING KECIL PAGI</t>
  </si>
  <si>
    <t>uty</t>
  </si>
  <si>
    <t>aj</t>
  </si>
  <si>
    <t>HOTPRESS 9aj</t>
  </si>
  <si>
    <t>Nebali</t>
  </si>
  <si>
    <t>pg platform</t>
  </si>
  <si>
    <t>HOTPRESS 12pg</t>
  </si>
  <si>
    <t>HOTPRESS nebali</t>
  </si>
  <si>
    <t>better</t>
  </si>
  <si>
    <t>BUAT PALET</t>
  </si>
  <si>
    <t>mpg</t>
  </si>
  <si>
    <t>NYUSUP</t>
  </si>
  <si>
    <t>fm</t>
  </si>
  <si>
    <t>GRAJI OTOMATIS</t>
  </si>
  <si>
    <t>Ngelontok</t>
  </si>
  <si>
    <t>TEMBEL TRIPLEK</t>
  </si>
  <si>
    <t>130/org</t>
  </si>
  <si>
    <t>Pecah</t>
  </si>
  <si>
    <t>PILIH DAN TEMBEL</t>
  </si>
  <si>
    <t>PILIH</t>
  </si>
  <si>
    <t>SANDING BESAR</t>
  </si>
  <si>
    <t>REPAIR 1,8</t>
  </si>
  <si>
    <t>REPAIR jabon</t>
  </si>
  <si>
    <t>REPAIR jeruk+normal</t>
  </si>
  <si>
    <t>REPAIR jeruk</t>
  </si>
  <si>
    <t>REPAIR sengon</t>
  </si>
  <si>
    <t>TUMPUK</t>
  </si>
  <si>
    <t>pot/org</t>
  </si>
  <si>
    <t>pot</t>
  </si>
  <si>
    <t>target</t>
  </si>
  <si>
    <t>hasil</t>
  </si>
  <si>
    <t>orang</t>
  </si>
  <si>
    <t>kerja (menit)</t>
  </si>
  <si>
    <t>kerja (jam)</t>
  </si>
  <si>
    <t>Menit</t>
  </si>
  <si>
    <t>Target</t>
  </si>
  <si>
    <t>lembar</t>
  </si>
  <si>
    <t>Sampling Tiplek</t>
  </si>
  <si>
    <t>PG</t>
  </si>
  <si>
    <t>12m</t>
  </si>
  <si>
    <t>Nyusup</t>
  </si>
  <si>
    <t>Better/ Better Local</t>
  </si>
  <si>
    <t>18m</t>
  </si>
  <si>
    <t>15m</t>
  </si>
  <si>
    <t>9m</t>
  </si>
  <si>
    <t>UTY</t>
  </si>
  <si>
    <t>5s</t>
  </si>
  <si>
    <t>palet</t>
  </si>
  <si>
    <t xml:space="preserve">Buat Palet </t>
  </si>
  <si>
    <t>Potong Sebetan</t>
  </si>
  <si>
    <t>(dempul+nyosrok)</t>
  </si>
  <si>
    <t>Malik Platform</t>
  </si>
  <si>
    <t>2 sisi</t>
  </si>
  <si>
    <t>Sanding Besar Malam</t>
  </si>
  <si>
    <t>Sanding Besar Pagi</t>
  </si>
  <si>
    <t>Sanding Kecil Malam</t>
  </si>
  <si>
    <t>Sanding Kecil Pagi</t>
  </si>
  <si>
    <t>stempel</t>
  </si>
  <si>
    <t>sanding</t>
  </si>
  <si>
    <t>2000-2200</t>
  </si>
  <si>
    <t>biasa</t>
  </si>
  <si>
    <t>Satuan</t>
  </si>
  <si>
    <t>Pekerja</t>
  </si>
  <si>
    <t>Ukuran</t>
  </si>
  <si>
    <t>Devisi</t>
  </si>
  <si>
    <t xml:space="preserve">No. </t>
  </si>
  <si>
    <t>TARGET WAHANA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</si>
</sst>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\-??_);_(@_)"/>
    <numFmt numFmtId="165" formatCode="_(* #,##0.0000_);_(* \(#,##0.0000\);_(* \-??_);_(@_)"/>
    <numFmt numFmtId="166" formatCode="0.0000"/>
    <numFmt numFmtId="167" formatCode="_(* #,##0_);_(* \(#,##0\);_(* &quot;-&quot;??_);_(@_)"/>
  </numFmts>
  <fonts count="18" x14ac:knownFonts="1">
    <font>
      <sz val="11"/>
      <color rgb="FF000000"/>
      <name val="Arial"/>
      <charset val="1"/>
    </font>
    <font>
      <sz val="11"/>
      <color rgb="FF000000"/>
      <name val="Arial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rgb="FF000000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FF0000"/>
      <name val="Arial"/>
      <family val="2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2EFD9"/>
        <bgColor rgb="FFFFF2CB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98">
    <xf numFmtId="0" fontId="0" fillId="0" borderId="0" xfId="0"/>
    <xf numFmtId="0" fontId="1" fillId="0" borderId="0" xfId="1" applyAlignment="1">
      <alignment vertical="center"/>
    </xf>
    <xf numFmtId="0" fontId="1" fillId="0" borderId="0" xfId="1"/>
    <xf numFmtId="0" fontId="2" fillId="0" borderId="1" xfId="1" applyFont="1" applyBorder="1" applyAlignment="1">
      <alignment horizontal="center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/>
    <xf numFmtId="165" fontId="3" fillId="2" borderId="1" xfId="1" applyNumberFormat="1" applyFont="1" applyFill="1" applyBorder="1"/>
    <xf numFmtId="1" fontId="3" fillId="0" borderId="1" xfId="1" applyNumberFormat="1" applyFont="1" applyBorder="1" applyAlignment="1">
      <alignment horizontal="center" vertical="center"/>
    </xf>
    <xf numFmtId="1" fontId="3" fillId="3" borderId="1" xfId="1" applyNumberFormat="1" applyFont="1" applyFill="1" applyBorder="1"/>
    <xf numFmtId="0" fontId="3" fillId="0" borderId="1" xfId="1" applyFont="1" applyBorder="1"/>
    <xf numFmtId="0" fontId="3" fillId="2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164" fontId="4" fillId="0" borderId="1" xfId="1" applyNumberFormat="1" applyFont="1" applyBorder="1"/>
    <xf numFmtId="165" fontId="3" fillId="0" borderId="1" xfId="1" applyNumberFormat="1" applyFont="1" applyBorder="1"/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/>
    <xf numFmtId="0" fontId="3" fillId="4" borderId="1" xfId="1" applyFont="1" applyFill="1" applyBorder="1"/>
    <xf numFmtId="0" fontId="3" fillId="4" borderId="1" xfId="1" applyFont="1" applyFill="1" applyBorder="1" applyAlignment="1">
      <alignment horizontal="center"/>
    </xf>
    <xf numFmtId="164" fontId="4" fillId="4" borderId="1" xfId="1" applyNumberFormat="1" applyFont="1" applyFill="1" applyBorder="1"/>
    <xf numFmtId="165" fontId="3" fillId="4" borderId="1" xfId="1" applyNumberFormat="1" applyFont="1" applyFill="1" applyBorder="1"/>
    <xf numFmtId="0" fontId="3" fillId="4" borderId="1" xfId="1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/>
    </xf>
    <xf numFmtId="1" fontId="3" fillId="4" borderId="1" xfId="1" applyNumberFormat="1" applyFont="1" applyFill="1" applyBorder="1"/>
    <xf numFmtId="0" fontId="1" fillId="4" borderId="0" xfId="1" applyFill="1"/>
    <xf numFmtId="0" fontId="4" fillId="0" borderId="1" xfId="1" applyFont="1" applyBorder="1" applyAlignment="1">
      <alignment horizontal="center" vertical="center"/>
    </xf>
    <xf numFmtId="0" fontId="5" fillId="2" borderId="0" xfId="1" applyFont="1" applyFill="1"/>
    <xf numFmtId="0" fontId="4" fillId="2" borderId="1" xfId="1" applyFont="1" applyFill="1" applyBorder="1"/>
    <xf numFmtId="0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/>
    <xf numFmtId="1" fontId="4" fillId="0" borderId="1" xfId="1" applyNumberFormat="1" applyFont="1" applyBorder="1" applyAlignment="1">
      <alignment horizontal="center" vertical="center"/>
    </xf>
    <xf numFmtId="1" fontId="4" fillId="3" borderId="1" xfId="1" applyNumberFormat="1" applyFont="1" applyFill="1" applyBorder="1"/>
    <xf numFmtId="0" fontId="4" fillId="0" borderId="1" xfId="1" applyFont="1" applyBorder="1"/>
    <xf numFmtId="0" fontId="6" fillId="0" borderId="0" xfId="1" applyFont="1"/>
    <xf numFmtId="0" fontId="3" fillId="2" borderId="1" xfId="1" applyFont="1" applyFill="1" applyBorder="1" applyAlignment="1">
      <alignment vertical="center"/>
    </xf>
    <xf numFmtId="166" fontId="3" fillId="0" borderId="1" xfId="1" applyNumberFormat="1" applyFont="1" applyBorder="1" applyAlignment="1">
      <alignment horizontal="center" vertical="center"/>
    </xf>
    <xf numFmtId="166" fontId="3" fillId="3" borderId="1" xfId="1" applyNumberFormat="1" applyFont="1" applyFill="1" applyBorder="1"/>
    <xf numFmtId="0" fontId="4" fillId="0" borderId="1" xfId="1" applyFont="1" applyBorder="1" applyAlignment="1">
      <alignment vertical="center"/>
    </xf>
    <xf numFmtId="0" fontId="3" fillId="0" borderId="1" xfId="1" applyFont="1" applyBorder="1" applyAlignment="1">
      <alignment horizontal="right"/>
    </xf>
    <xf numFmtId="0" fontId="4" fillId="0" borderId="1" xfId="1" applyFont="1" applyBorder="1" applyAlignment="1">
      <alignment horizontal="right"/>
    </xf>
    <xf numFmtId="0" fontId="7" fillId="0" borderId="1" xfId="1" applyFont="1" applyBorder="1"/>
    <xf numFmtId="0" fontId="7" fillId="0" borderId="1" xfId="1" applyFont="1" applyBorder="1" applyAlignment="1">
      <alignment horizontal="right"/>
    </xf>
    <xf numFmtId="164" fontId="4" fillId="0" borderId="1" xfId="1" applyNumberFormat="1" applyFont="1" applyBorder="1" applyAlignment="1">
      <alignment horizontal="right"/>
    </xf>
    <xf numFmtId="0" fontId="7" fillId="0" borderId="1" xfId="1" applyFont="1" applyBorder="1" applyAlignment="1">
      <alignment horizontal="center"/>
    </xf>
    <xf numFmtId="1" fontId="7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3" fillId="0" borderId="1" xfId="1" applyFont="1" applyBorder="1" applyAlignment="1">
      <alignment horizontal="right" vertical="center"/>
    </xf>
    <xf numFmtId="0" fontId="3" fillId="0" borderId="1" xfId="1" applyFont="1" applyBorder="1" applyAlignment="1">
      <alignment vertical="center"/>
    </xf>
    <xf numFmtId="0" fontId="8" fillId="0" borderId="1" xfId="1" applyFont="1" applyBorder="1"/>
    <xf numFmtId="0" fontId="9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11" fillId="2" borderId="2" xfId="0" applyFont="1" applyFill="1" applyBorder="1"/>
    <xf numFmtId="0" fontId="11" fillId="2" borderId="1" xfId="0" applyFont="1" applyFill="1" applyBorder="1"/>
    <xf numFmtId="164" fontId="3" fillId="0" borderId="1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0" fontId="1" fillId="2" borderId="1" xfId="1" applyFill="1" applyBorder="1" applyAlignment="1">
      <alignment vertical="center"/>
    </xf>
    <xf numFmtId="0" fontId="11" fillId="2" borderId="1" xfId="0" applyFont="1" applyFill="1" applyBorder="1" applyAlignment="1">
      <alignment horizontal="right"/>
    </xf>
    <xf numFmtId="0" fontId="1" fillId="0" borderId="1" xfId="1" applyBorder="1" applyAlignment="1">
      <alignment vertical="center"/>
    </xf>
    <xf numFmtId="0" fontId="12" fillId="0" borderId="0" xfId="2" applyAlignment="1">
      <alignment vertical="center"/>
    </xf>
    <xf numFmtId="167" fontId="12" fillId="0" borderId="1" xfId="2" applyNumberFormat="1" applyBorder="1" applyAlignment="1">
      <alignment vertical="center"/>
    </xf>
    <xf numFmtId="0" fontId="12" fillId="5" borderId="1" xfId="2" applyFill="1" applyBorder="1" applyAlignment="1">
      <alignment vertical="center"/>
    </xf>
    <xf numFmtId="1" fontId="13" fillId="0" borderId="3" xfId="2" applyNumberFormat="1" applyFont="1" applyBorder="1" applyAlignment="1">
      <alignment horizontal="center" vertical="center"/>
    </xf>
    <xf numFmtId="0" fontId="13" fillId="0" borderId="3" xfId="2" applyFont="1" applyBorder="1"/>
    <xf numFmtId="1" fontId="13" fillId="6" borderId="3" xfId="2" applyNumberFormat="1" applyFont="1" applyFill="1" applyBorder="1"/>
    <xf numFmtId="0" fontId="13" fillId="0" borderId="3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3" xfId="2" applyFont="1" applyBorder="1" applyAlignment="1">
      <alignment vertical="center"/>
    </xf>
    <xf numFmtId="0" fontId="13" fillId="0" borderId="3" xfId="2" applyFont="1" applyBorder="1" applyAlignment="1">
      <alignment horizontal="center"/>
    </xf>
    <xf numFmtId="167" fontId="13" fillId="0" borderId="3" xfId="2" applyNumberFormat="1" applyFont="1" applyBorder="1"/>
    <xf numFmtId="0" fontId="13" fillId="0" borderId="3" xfId="2" applyFont="1" applyBorder="1" applyAlignment="1">
      <alignment horizontal="right"/>
    </xf>
    <xf numFmtId="0" fontId="13" fillId="0" borderId="4" xfId="2" applyFont="1" applyBorder="1"/>
    <xf numFmtId="0" fontId="14" fillId="7" borderId="3" xfId="2" applyFont="1" applyFill="1" applyBorder="1" applyAlignment="1">
      <alignment vertical="center"/>
    </xf>
    <xf numFmtId="0" fontId="14" fillId="0" borderId="0" xfId="2" applyFont="1" applyAlignment="1">
      <alignment vertical="center"/>
    </xf>
    <xf numFmtId="0" fontId="13" fillId="0" borderId="3" xfId="2" applyFont="1" applyBorder="1" applyAlignment="1">
      <alignment vertical="center"/>
    </xf>
    <xf numFmtId="0" fontId="13" fillId="8" borderId="3" xfId="2" applyFont="1" applyFill="1" applyBorder="1" applyAlignment="1">
      <alignment vertical="center"/>
    </xf>
    <xf numFmtId="0" fontId="14" fillId="5" borderId="1" xfId="2" applyFont="1" applyFill="1" applyBorder="1" applyAlignment="1">
      <alignment vertical="center"/>
    </xf>
    <xf numFmtId="1" fontId="13" fillId="0" borderId="5" xfId="2" applyNumberFormat="1" applyFont="1" applyBorder="1" applyAlignment="1">
      <alignment horizontal="center" vertical="center"/>
    </xf>
    <xf numFmtId="0" fontId="13" fillId="0" borderId="5" xfId="2" applyFont="1" applyBorder="1"/>
    <xf numFmtId="1" fontId="13" fillId="6" borderId="5" xfId="2" applyNumberFormat="1" applyFont="1" applyFill="1" applyBorder="1"/>
    <xf numFmtId="0" fontId="13" fillId="0" borderId="5" xfId="2" applyFont="1" applyBorder="1" applyAlignment="1">
      <alignment horizontal="center" vertical="center"/>
    </xf>
    <xf numFmtId="167" fontId="13" fillId="0" borderId="5" xfId="2" applyNumberFormat="1" applyFont="1" applyBorder="1"/>
    <xf numFmtId="0" fontId="13" fillId="0" borderId="5" xfId="2" applyFont="1" applyBorder="1" applyAlignment="1">
      <alignment horizontal="right"/>
    </xf>
    <xf numFmtId="0" fontId="14" fillId="0" borderId="5" xfId="2" applyFont="1" applyBorder="1" applyAlignment="1">
      <alignment vertical="center"/>
    </xf>
    <xf numFmtId="0" fontId="13" fillId="8" borderId="3" xfId="2" applyFont="1" applyFill="1" applyBorder="1"/>
    <xf numFmtId="0" fontId="12" fillId="0" borderId="1" xfId="2" applyBorder="1" applyAlignment="1">
      <alignment horizontal="center" vertical="center"/>
    </xf>
    <xf numFmtId="0" fontId="15" fillId="0" borderId="0" xfId="2" applyFont="1" applyAlignment="1">
      <alignment horizontal="center"/>
    </xf>
    <xf numFmtId="0" fontId="15" fillId="0" borderId="3" xfId="2" applyFont="1" applyBorder="1" applyAlignment="1">
      <alignment horizontal="center"/>
    </xf>
    <xf numFmtId="43" fontId="12" fillId="5" borderId="0" xfId="2" applyNumberFormat="1" applyFill="1" applyAlignment="1">
      <alignment vertical="center"/>
    </xf>
    <xf numFmtId="0" fontId="12" fillId="0" borderId="0" xfId="2" applyAlignment="1">
      <alignment horizontal="center" vertical="center"/>
    </xf>
    <xf numFmtId="0" fontId="16" fillId="9" borderId="1" xfId="2" applyFont="1" applyFill="1" applyBorder="1" applyAlignment="1">
      <alignment vertical="center"/>
    </xf>
    <xf numFmtId="0" fontId="12" fillId="9" borderId="1" xfId="2" applyFill="1" applyBorder="1" applyAlignment="1">
      <alignment horizontal="center" vertical="center"/>
    </xf>
    <xf numFmtId="0" fontId="12" fillId="9" borderId="1" xfId="2" applyFill="1" applyBorder="1" applyAlignment="1">
      <alignment vertical="center"/>
    </xf>
    <xf numFmtId="0" fontId="16" fillId="9" borderId="1" xfId="2" applyFont="1" applyFill="1" applyBorder="1" applyAlignment="1">
      <alignment horizontal="center" vertical="center"/>
    </xf>
    <xf numFmtId="0" fontId="16" fillId="10" borderId="1" xfId="2" applyFont="1" applyFill="1" applyBorder="1" applyAlignment="1">
      <alignment vertical="center"/>
    </xf>
    <xf numFmtId="0" fontId="16" fillId="10" borderId="1" xfId="2" applyFont="1" applyFill="1" applyBorder="1" applyAlignment="1">
      <alignment horizontal="center" vertical="center"/>
    </xf>
    <xf numFmtId="0" fontId="12" fillId="9" borderId="0" xfId="2" applyFill="1" applyAlignment="1">
      <alignment vertical="center"/>
    </xf>
    <xf numFmtId="0" fontId="12" fillId="9" borderId="0" xfId="2" applyFill="1" applyAlignment="1">
      <alignment horizontal="center" vertical="center"/>
    </xf>
    <xf numFmtId="0" fontId="17" fillId="9" borderId="0" xfId="2" applyFont="1" applyFill="1" applyAlignment="1">
      <alignment horizontal="center" vertical="center"/>
    </xf>
  </cellXfs>
  <cellStyles count="3">
    <cellStyle name="Normal" xfId="0" builtinId="0"/>
    <cellStyle name="Normal 2" xfId="2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\ROKHMA\ROKHMA\Tar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jaya"/>
      <sheetName val="Sheet2"/>
      <sheetName val="List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"/>
  <sheetViews>
    <sheetView tabSelected="1" zoomScaleNormal="100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C59" sqref="C59"/>
    </sheetView>
  </sheetViews>
  <sheetFormatPr defaultColWidth="8.625" defaultRowHeight="14.25" x14ac:dyDescent="0.2"/>
  <cols>
    <col min="1" max="1" width="15.125" style="1" bestFit="1" customWidth="1"/>
    <col min="2" max="2" width="11.125" style="1" customWidth="1"/>
    <col min="3" max="3" width="14.5" style="1" customWidth="1"/>
    <col min="4" max="4" width="5.625" style="1" customWidth="1"/>
    <col min="5" max="5" width="5.375" style="1" customWidth="1"/>
    <col min="6" max="6" width="5.625" style="1" customWidth="1"/>
    <col min="7" max="7" width="5.125" style="1" customWidth="1"/>
    <col min="8" max="8" width="7.375" style="1" bestFit="1" customWidth="1"/>
    <col min="9" max="10" width="10" style="1" customWidth="1"/>
    <col min="11" max="11" width="6.625" style="1" customWidth="1"/>
    <col min="12" max="13" width="7.5" style="1" customWidth="1"/>
    <col min="14" max="14" width="9.875" style="1" hidden="1" customWidth="1"/>
    <col min="15" max="15" width="10.875" style="1" hidden="1" customWidth="1"/>
    <col min="16" max="16" width="10" style="1" hidden="1" customWidth="1"/>
    <col min="17" max="17" width="7.5" style="1" hidden="1" customWidth="1"/>
    <col min="18" max="18" width="10" style="1" hidden="1" customWidth="1"/>
    <col min="19" max="16384" width="8.625" style="2"/>
  </cols>
  <sheetData>
    <row r="1" spans="1:18" x14ac:dyDescent="0.2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</row>
    <row r="2" spans="1:18" ht="14.2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</row>
    <row r="3" spans="1:18" ht="14.25" customHeight="1" x14ac:dyDescent="0.25">
      <c r="A3" s="4" t="s">
        <v>18</v>
      </c>
      <c r="B3" s="4" t="s">
        <v>19</v>
      </c>
      <c r="C3" s="4" t="str">
        <f t="shared" ref="C3:C55" si="0">B3&amp;D3&amp;E3&amp;F3</f>
        <v>RT-SP2441220.5</v>
      </c>
      <c r="D3" s="4">
        <v>244</v>
      </c>
      <c r="E3" s="4">
        <v>122</v>
      </c>
      <c r="F3" s="4">
        <v>0.5</v>
      </c>
      <c r="G3" s="4"/>
      <c r="H3" s="5"/>
      <c r="I3" s="6">
        <v>6000</v>
      </c>
      <c r="J3" s="7">
        <f>D3*E3*F3*I3/10000000</f>
        <v>8.9304000000000006</v>
      </c>
      <c r="K3" s="5">
        <v>8</v>
      </c>
      <c r="L3" s="5">
        <v>10</v>
      </c>
      <c r="M3" s="5">
        <f t="shared" ref="M3:M55" si="1">L3*60</f>
        <v>600</v>
      </c>
      <c r="N3" s="8">
        <f t="shared" ref="N3:N12" si="2">I3/L3</f>
        <v>600</v>
      </c>
      <c r="O3" s="8">
        <f t="shared" ref="O3:O55" si="3">I3/M3</f>
        <v>10</v>
      </c>
      <c r="P3" s="9">
        <f t="shared" ref="P3:P55" si="4">I3/K3</f>
        <v>750</v>
      </c>
      <c r="Q3" s="10">
        <v>115000</v>
      </c>
      <c r="R3" s="8">
        <f t="shared" ref="R3:R12" si="5">Q3/P3</f>
        <v>153.33333333333334</v>
      </c>
    </row>
    <row r="4" spans="1:18" ht="14.25" customHeight="1" x14ac:dyDescent="0.25">
      <c r="A4" s="4" t="s">
        <v>20</v>
      </c>
      <c r="B4" s="4" t="s">
        <v>21</v>
      </c>
      <c r="C4" s="4" t="str">
        <f t="shared" si="0"/>
        <v>RT-MR2441220.5</v>
      </c>
      <c r="D4" s="4">
        <v>244</v>
      </c>
      <c r="E4" s="4">
        <v>122</v>
      </c>
      <c r="F4" s="4">
        <v>0.5</v>
      </c>
      <c r="G4" s="4"/>
      <c r="H4" s="11"/>
      <c r="I4" s="6">
        <v>2600</v>
      </c>
      <c r="J4" s="7">
        <f t="shared" ref="J4:J22" si="6">D4*E4*F4*I4/10000000</f>
        <v>3.8698399999999999</v>
      </c>
      <c r="K4" s="11">
        <v>7</v>
      </c>
      <c r="L4" s="5">
        <v>10</v>
      </c>
      <c r="M4" s="5">
        <f t="shared" si="1"/>
        <v>600</v>
      </c>
      <c r="N4" s="8">
        <f t="shared" si="2"/>
        <v>260</v>
      </c>
      <c r="O4" s="8">
        <f t="shared" si="3"/>
        <v>4.333333333333333</v>
      </c>
      <c r="P4" s="9">
        <f t="shared" si="4"/>
        <v>371.42857142857144</v>
      </c>
      <c r="Q4" s="10">
        <v>115000</v>
      </c>
      <c r="R4" s="8">
        <f t="shared" si="5"/>
        <v>309.61538461538458</v>
      </c>
    </row>
    <row r="5" spans="1:18" ht="14.25" customHeight="1" x14ac:dyDescent="0.25">
      <c r="A5" s="10" t="s">
        <v>22</v>
      </c>
      <c r="B5" s="10" t="s">
        <v>23</v>
      </c>
      <c r="C5" s="10" t="str">
        <f t="shared" si="0"/>
        <v>RT-SJ1222442.2</v>
      </c>
      <c r="D5" s="10">
        <v>122</v>
      </c>
      <c r="E5" s="10">
        <v>244</v>
      </c>
      <c r="F5" s="10">
        <v>2.2000000000000002</v>
      </c>
      <c r="G5" s="10"/>
      <c r="H5" s="12"/>
      <c r="I5" s="13">
        <v>3000</v>
      </c>
      <c r="J5" s="14">
        <f t="shared" si="6"/>
        <v>19.646880000000003</v>
      </c>
      <c r="K5" s="15">
        <v>10</v>
      </c>
      <c r="L5" s="15">
        <v>9</v>
      </c>
      <c r="M5" s="15">
        <f t="shared" si="1"/>
        <v>540</v>
      </c>
      <c r="N5" s="8">
        <f t="shared" si="2"/>
        <v>333.33333333333331</v>
      </c>
      <c r="O5" s="8">
        <f t="shared" si="3"/>
        <v>5.5555555555555554</v>
      </c>
      <c r="P5" s="9">
        <f t="shared" si="4"/>
        <v>300</v>
      </c>
      <c r="Q5" s="10">
        <v>115000</v>
      </c>
      <c r="R5" s="8">
        <f t="shared" si="5"/>
        <v>383.33333333333331</v>
      </c>
    </row>
    <row r="6" spans="1:18" ht="14.25" customHeight="1" x14ac:dyDescent="0.25">
      <c r="A6" s="10" t="s">
        <v>22</v>
      </c>
      <c r="B6" s="10" t="s">
        <v>23</v>
      </c>
      <c r="C6" s="10" t="str">
        <f t="shared" si="0"/>
        <v>RT-SJ1222442.7</v>
      </c>
      <c r="D6" s="10">
        <v>122</v>
      </c>
      <c r="E6" s="10">
        <v>244</v>
      </c>
      <c r="F6" s="10">
        <v>2.7</v>
      </c>
      <c r="G6" s="10"/>
      <c r="H6" s="12"/>
      <c r="I6" s="13">
        <v>3000</v>
      </c>
      <c r="J6" s="14">
        <f t="shared" si="6"/>
        <v>24.112080000000002</v>
      </c>
      <c r="K6" s="15">
        <v>10</v>
      </c>
      <c r="L6" s="15">
        <v>9</v>
      </c>
      <c r="M6" s="15">
        <f t="shared" si="1"/>
        <v>540</v>
      </c>
      <c r="N6" s="8">
        <f t="shared" si="2"/>
        <v>333.33333333333331</v>
      </c>
      <c r="O6" s="8">
        <f t="shared" si="3"/>
        <v>5.5555555555555554</v>
      </c>
      <c r="P6" s="9">
        <f t="shared" si="4"/>
        <v>300</v>
      </c>
      <c r="Q6" s="10">
        <v>115000</v>
      </c>
      <c r="R6" s="8">
        <f t="shared" si="5"/>
        <v>383.33333333333331</v>
      </c>
    </row>
    <row r="7" spans="1:18" ht="14.25" customHeight="1" x14ac:dyDescent="0.25">
      <c r="A7" s="10" t="s">
        <v>22</v>
      </c>
      <c r="B7" s="10" t="s">
        <v>23</v>
      </c>
      <c r="C7" s="10" t="str">
        <f t="shared" si="0"/>
        <v>RT-SJ1222443.7</v>
      </c>
      <c r="D7" s="10">
        <v>122</v>
      </c>
      <c r="E7" s="10">
        <v>244</v>
      </c>
      <c r="F7" s="10">
        <v>3.7</v>
      </c>
      <c r="G7" s="10"/>
      <c r="H7" s="12"/>
      <c r="I7" s="16">
        <v>2000</v>
      </c>
      <c r="J7" s="14">
        <f t="shared" si="6"/>
        <v>22.028320000000001</v>
      </c>
      <c r="K7" s="15">
        <v>10</v>
      </c>
      <c r="L7" s="15">
        <v>9</v>
      </c>
      <c r="M7" s="15">
        <f t="shared" si="1"/>
        <v>540</v>
      </c>
      <c r="N7" s="8">
        <f t="shared" si="2"/>
        <v>222.22222222222223</v>
      </c>
      <c r="O7" s="8">
        <f t="shared" si="3"/>
        <v>3.7037037037037037</v>
      </c>
      <c r="P7" s="9">
        <f t="shared" si="4"/>
        <v>200</v>
      </c>
      <c r="Q7" s="10">
        <v>115000</v>
      </c>
      <c r="R7" s="8">
        <f t="shared" si="5"/>
        <v>575</v>
      </c>
    </row>
    <row r="8" spans="1:18" ht="14.25" customHeight="1" x14ac:dyDescent="0.25">
      <c r="A8" s="10" t="s">
        <v>22</v>
      </c>
      <c r="B8" s="10" t="s">
        <v>23</v>
      </c>
      <c r="C8" s="10" t="str">
        <f t="shared" si="0"/>
        <v>RT-SJ1222443.8</v>
      </c>
      <c r="D8" s="10">
        <v>122</v>
      </c>
      <c r="E8" s="10">
        <v>244</v>
      </c>
      <c r="F8" s="10">
        <v>3.8</v>
      </c>
      <c r="G8" s="10"/>
      <c r="H8" s="12"/>
      <c r="I8" s="16">
        <v>2000</v>
      </c>
      <c r="J8" s="14">
        <f t="shared" si="6"/>
        <v>22.62368</v>
      </c>
      <c r="K8" s="15">
        <v>10</v>
      </c>
      <c r="L8" s="15">
        <v>9</v>
      </c>
      <c r="M8" s="15">
        <f t="shared" si="1"/>
        <v>540</v>
      </c>
      <c r="N8" s="8">
        <f t="shared" si="2"/>
        <v>222.22222222222223</v>
      </c>
      <c r="O8" s="8">
        <f t="shared" si="3"/>
        <v>3.7037037037037037</v>
      </c>
      <c r="P8" s="9">
        <f t="shared" si="4"/>
        <v>200</v>
      </c>
      <c r="Q8" s="10">
        <v>115000</v>
      </c>
      <c r="R8" s="8">
        <f t="shared" si="5"/>
        <v>575</v>
      </c>
    </row>
    <row r="9" spans="1:18" ht="14.25" customHeight="1" x14ac:dyDescent="0.25">
      <c r="A9" s="10" t="s">
        <v>22</v>
      </c>
      <c r="B9" s="10" t="s">
        <v>23</v>
      </c>
      <c r="C9" s="10" t="str">
        <f t="shared" si="0"/>
        <v>RT-SJ1222444</v>
      </c>
      <c r="D9" s="10">
        <v>122</v>
      </c>
      <c r="E9" s="10">
        <v>244</v>
      </c>
      <c r="F9" s="10">
        <v>4</v>
      </c>
      <c r="G9" s="10"/>
      <c r="H9" s="12"/>
      <c r="I9" s="16">
        <v>1500</v>
      </c>
      <c r="J9" s="14">
        <f t="shared" si="6"/>
        <v>17.860800000000001</v>
      </c>
      <c r="K9" s="15">
        <v>10</v>
      </c>
      <c r="L9" s="15">
        <v>9</v>
      </c>
      <c r="M9" s="15">
        <f t="shared" si="1"/>
        <v>540</v>
      </c>
      <c r="N9" s="8">
        <f t="shared" si="2"/>
        <v>166.66666666666666</v>
      </c>
      <c r="O9" s="8">
        <f t="shared" si="3"/>
        <v>2.7777777777777777</v>
      </c>
      <c r="P9" s="9">
        <f t="shared" si="4"/>
        <v>150</v>
      </c>
      <c r="Q9" s="10">
        <v>115000</v>
      </c>
      <c r="R9" s="8">
        <f t="shared" si="5"/>
        <v>766.66666666666663</v>
      </c>
    </row>
    <row r="10" spans="1:18" s="24" customFormat="1" ht="14.25" customHeight="1" x14ac:dyDescent="0.25">
      <c r="A10" s="17" t="s">
        <v>22</v>
      </c>
      <c r="B10" s="17" t="s">
        <v>23</v>
      </c>
      <c r="C10" s="17" t="str">
        <f t="shared" si="0"/>
        <v>RT-SJ1222441.8</v>
      </c>
      <c r="D10" s="17">
        <v>122</v>
      </c>
      <c r="E10" s="17">
        <v>244</v>
      </c>
      <c r="F10" s="17">
        <v>1.8</v>
      </c>
      <c r="G10" s="17"/>
      <c r="H10" s="18"/>
      <c r="I10" s="19">
        <v>3000</v>
      </c>
      <c r="J10" s="20">
        <f t="shared" si="6"/>
        <v>16.074719999999999</v>
      </c>
      <c r="K10" s="21">
        <v>10</v>
      </c>
      <c r="L10" s="21">
        <v>9</v>
      </c>
      <c r="M10" s="21">
        <f t="shared" si="1"/>
        <v>540</v>
      </c>
      <c r="N10" s="22">
        <f t="shared" si="2"/>
        <v>333.33333333333331</v>
      </c>
      <c r="O10" s="22">
        <f t="shared" si="3"/>
        <v>5.5555555555555554</v>
      </c>
      <c r="P10" s="23">
        <f t="shared" si="4"/>
        <v>300</v>
      </c>
      <c r="Q10" s="17">
        <v>115000</v>
      </c>
      <c r="R10" s="22">
        <f t="shared" si="5"/>
        <v>383.33333333333331</v>
      </c>
    </row>
    <row r="11" spans="1:18" ht="14.25" customHeight="1" x14ac:dyDescent="0.25">
      <c r="A11" s="10" t="s">
        <v>22</v>
      </c>
      <c r="B11" s="10" t="s">
        <v>23</v>
      </c>
      <c r="C11" s="10" t="str">
        <f t="shared" si="0"/>
        <v>RT-SJ1221301.8</v>
      </c>
      <c r="D11" s="10">
        <v>122</v>
      </c>
      <c r="E11" s="10">
        <v>130</v>
      </c>
      <c r="F11" s="10">
        <v>1.8</v>
      </c>
      <c r="G11" s="10"/>
      <c r="H11" s="12"/>
      <c r="I11" s="13">
        <v>5000</v>
      </c>
      <c r="J11" s="14">
        <f t="shared" si="6"/>
        <v>14.273999999999999</v>
      </c>
      <c r="K11" s="15">
        <v>10</v>
      </c>
      <c r="L11" s="15">
        <v>9</v>
      </c>
      <c r="M11" s="15">
        <f t="shared" si="1"/>
        <v>540</v>
      </c>
      <c r="N11" s="8">
        <f t="shared" si="2"/>
        <v>555.55555555555554</v>
      </c>
      <c r="O11" s="8">
        <f t="shared" si="3"/>
        <v>9.2592592592592595</v>
      </c>
      <c r="P11" s="9">
        <f t="shared" si="4"/>
        <v>500</v>
      </c>
      <c r="Q11" s="10">
        <v>115000</v>
      </c>
      <c r="R11" s="8">
        <f t="shared" si="5"/>
        <v>230</v>
      </c>
    </row>
    <row r="12" spans="1:18" ht="14.25" customHeight="1" x14ac:dyDescent="0.25">
      <c r="A12" s="10" t="s">
        <v>22</v>
      </c>
      <c r="B12" s="10" t="s">
        <v>23</v>
      </c>
      <c r="C12" s="10" t="str">
        <f t="shared" si="0"/>
        <v>RT-SJ1221302.7</v>
      </c>
      <c r="D12" s="10">
        <v>122</v>
      </c>
      <c r="E12" s="10">
        <v>130</v>
      </c>
      <c r="F12" s="10">
        <v>2.7</v>
      </c>
      <c r="G12" s="10"/>
      <c r="H12" s="12"/>
      <c r="I12" s="13">
        <v>5000</v>
      </c>
      <c r="J12" s="14">
        <f t="shared" si="6"/>
        <v>21.411000000000001</v>
      </c>
      <c r="K12" s="15">
        <v>10</v>
      </c>
      <c r="L12" s="15">
        <v>9</v>
      </c>
      <c r="M12" s="15">
        <f t="shared" si="1"/>
        <v>540</v>
      </c>
      <c r="N12" s="8">
        <f t="shared" si="2"/>
        <v>555.55555555555554</v>
      </c>
      <c r="O12" s="8">
        <f t="shared" si="3"/>
        <v>9.2592592592592595</v>
      </c>
      <c r="P12" s="9">
        <f t="shared" si="4"/>
        <v>500</v>
      </c>
      <c r="Q12" s="10">
        <v>115000</v>
      </c>
      <c r="R12" s="8">
        <f t="shared" si="5"/>
        <v>230</v>
      </c>
    </row>
    <row r="13" spans="1:18" ht="14.25" customHeight="1" x14ac:dyDescent="0.25">
      <c r="A13" s="10" t="s">
        <v>22</v>
      </c>
      <c r="B13" s="10" t="s">
        <v>23</v>
      </c>
      <c r="C13" s="10" t="str">
        <f t="shared" si="0"/>
        <v>RT-SJ1221302.2</v>
      </c>
      <c r="D13" s="10">
        <v>122</v>
      </c>
      <c r="E13" s="10">
        <v>130</v>
      </c>
      <c r="F13" s="10">
        <v>2.2000000000000002</v>
      </c>
      <c r="G13" s="10"/>
      <c r="H13" s="12"/>
      <c r="I13" s="13">
        <v>5000</v>
      </c>
      <c r="J13" s="14">
        <f t="shared" si="6"/>
        <v>17.446000000000002</v>
      </c>
      <c r="K13" s="15">
        <v>7</v>
      </c>
      <c r="L13" s="15">
        <v>9</v>
      </c>
      <c r="M13" s="15">
        <f t="shared" si="1"/>
        <v>540</v>
      </c>
      <c r="N13" s="8">
        <v>400</v>
      </c>
      <c r="O13" s="8">
        <f t="shared" si="3"/>
        <v>9.2592592592592595</v>
      </c>
      <c r="P13" s="9">
        <f t="shared" si="4"/>
        <v>714.28571428571433</v>
      </c>
      <c r="Q13" s="10">
        <v>115000</v>
      </c>
      <c r="R13" s="8">
        <v>201.25</v>
      </c>
    </row>
    <row r="14" spans="1:18" ht="14.25" customHeight="1" x14ac:dyDescent="0.25">
      <c r="A14" s="10" t="s">
        <v>22</v>
      </c>
      <c r="B14" s="10" t="s">
        <v>23</v>
      </c>
      <c r="C14" s="10" t="str">
        <f t="shared" si="0"/>
        <v>RT-SJ1221303.7</v>
      </c>
      <c r="D14" s="10">
        <v>122</v>
      </c>
      <c r="E14" s="10">
        <v>130</v>
      </c>
      <c r="F14" s="10">
        <v>3.7</v>
      </c>
      <c r="G14" s="10"/>
      <c r="H14" s="12"/>
      <c r="I14" s="16">
        <f>I7*2</f>
        <v>4000</v>
      </c>
      <c r="J14" s="14">
        <f t="shared" si="6"/>
        <v>23.472799999999999</v>
      </c>
      <c r="K14" s="15">
        <v>10</v>
      </c>
      <c r="L14" s="15">
        <v>9</v>
      </c>
      <c r="M14" s="15">
        <f t="shared" si="1"/>
        <v>540</v>
      </c>
      <c r="N14" s="8">
        <f t="shared" ref="N14:N64" si="7">I14/L14</f>
        <v>444.44444444444446</v>
      </c>
      <c r="O14" s="8">
        <f t="shared" si="3"/>
        <v>7.4074074074074074</v>
      </c>
      <c r="P14" s="9">
        <f t="shared" si="4"/>
        <v>400</v>
      </c>
      <c r="Q14" s="10">
        <v>115000</v>
      </c>
      <c r="R14" s="8">
        <f t="shared" ref="R14:R64" si="8">Q14/P14</f>
        <v>287.5</v>
      </c>
    </row>
    <row r="15" spans="1:18" ht="14.25" customHeight="1" x14ac:dyDescent="0.25">
      <c r="A15" s="10" t="s">
        <v>22</v>
      </c>
      <c r="B15" s="10" t="s">
        <v>23</v>
      </c>
      <c r="C15" s="10" t="str">
        <f t="shared" si="0"/>
        <v>RT-SJ122653.7</v>
      </c>
      <c r="D15" s="10">
        <v>122</v>
      </c>
      <c r="E15" s="10">
        <v>65</v>
      </c>
      <c r="F15" s="10">
        <v>3.7</v>
      </c>
      <c r="G15" s="10"/>
      <c r="H15" s="12"/>
      <c r="I15" s="13">
        <v>4000</v>
      </c>
      <c r="J15" s="14">
        <f t="shared" si="6"/>
        <v>11.7364</v>
      </c>
      <c r="K15" s="15">
        <v>10</v>
      </c>
      <c r="L15" s="15">
        <v>9</v>
      </c>
      <c r="M15" s="15">
        <f t="shared" si="1"/>
        <v>540</v>
      </c>
      <c r="N15" s="8">
        <f t="shared" si="7"/>
        <v>444.44444444444446</v>
      </c>
      <c r="O15" s="8">
        <f t="shared" si="3"/>
        <v>7.4074074074074074</v>
      </c>
      <c r="P15" s="9">
        <f t="shared" si="4"/>
        <v>400</v>
      </c>
      <c r="Q15" s="10">
        <v>115001</v>
      </c>
      <c r="R15" s="8">
        <f t="shared" si="8"/>
        <v>287.5025</v>
      </c>
    </row>
    <row r="16" spans="1:18" ht="13.7" customHeight="1" x14ac:dyDescent="0.25">
      <c r="A16" s="10" t="s">
        <v>22</v>
      </c>
      <c r="B16" s="10" t="s">
        <v>23</v>
      </c>
      <c r="C16" s="10" t="str">
        <f t="shared" si="0"/>
        <v>RT-SJ1221304</v>
      </c>
      <c r="D16" s="10">
        <v>122</v>
      </c>
      <c r="E16" s="10">
        <v>130</v>
      </c>
      <c r="F16" s="10">
        <v>4</v>
      </c>
      <c r="G16" s="10"/>
      <c r="H16" s="12"/>
      <c r="I16" s="16">
        <f>I9*2</f>
        <v>3000</v>
      </c>
      <c r="J16" s="14">
        <f t="shared" si="6"/>
        <v>19.032</v>
      </c>
      <c r="K16" s="15">
        <v>10</v>
      </c>
      <c r="L16" s="15">
        <v>9</v>
      </c>
      <c r="M16" s="15">
        <f t="shared" si="1"/>
        <v>540</v>
      </c>
      <c r="N16" s="8">
        <f t="shared" si="7"/>
        <v>333.33333333333331</v>
      </c>
      <c r="O16" s="8">
        <f t="shared" si="3"/>
        <v>5.5555555555555554</v>
      </c>
      <c r="P16" s="9">
        <f t="shared" si="4"/>
        <v>300</v>
      </c>
      <c r="Q16" s="10">
        <v>115000</v>
      </c>
      <c r="R16" s="8">
        <f t="shared" si="8"/>
        <v>383.33333333333331</v>
      </c>
    </row>
    <row r="17" spans="1:18" ht="14.25" customHeight="1" x14ac:dyDescent="0.25">
      <c r="A17" s="10" t="s">
        <v>24</v>
      </c>
      <c r="B17" s="10" t="s">
        <v>25</v>
      </c>
      <c r="C17" s="10" t="str">
        <f t="shared" si="0"/>
        <v>RT-YQ1221302.2</v>
      </c>
      <c r="D17" s="10">
        <v>122</v>
      </c>
      <c r="E17" s="10">
        <v>130</v>
      </c>
      <c r="F17" s="10">
        <v>2.2000000000000002</v>
      </c>
      <c r="G17" s="10"/>
      <c r="H17" s="12"/>
      <c r="I17" s="13">
        <v>3000</v>
      </c>
      <c r="J17" s="14">
        <f t="shared" si="6"/>
        <v>10.467599999999999</v>
      </c>
      <c r="K17" s="25">
        <v>8</v>
      </c>
      <c r="L17" s="15">
        <v>9</v>
      </c>
      <c r="M17" s="15">
        <f t="shared" si="1"/>
        <v>540</v>
      </c>
      <c r="N17" s="8">
        <f t="shared" si="7"/>
        <v>333.33333333333331</v>
      </c>
      <c r="O17" s="8">
        <f t="shared" si="3"/>
        <v>5.5555555555555554</v>
      </c>
      <c r="P17" s="9">
        <f t="shared" si="4"/>
        <v>375</v>
      </c>
      <c r="Q17" s="10">
        <v>115000</v>
      </c>
      <c r="R17" s="8">
        <f t="shared" si="8"/>
        <v>306.66666666666669</v>
      </c>
    </row>
    <row r="18" spans="1:18" ht="14.25" customHeight="1" x14ac:dyDescent="0.25">
      <c r="A18" s="10" t="s">
        <v>24</v>
      </c>
      <c r="B18" s="10" t="s">
        <v>25</v>
      </c>
      <c r="C18" s="10" t="str">
        <f t="shared" si="0"/>
        <v>RT-YQ1222442.7</v>
      </c>
      <c r="D18" s="10">
        <v>122</v>
      </c>
      <c r="E18" s="10">
        <v>244</v>
      </c>
      <c r="F18" s="10">
        <v>2.7</v>
      </c>
      <c r="G18" s="10"/>
      <c r="H18" s="12"/>
      <c r="I18" s="13">
        <v>3000</v>
      </c>
      <c r="J18" s="14">
        <f>D18*E18*F18*I18/10000000</f>
        <v>24.112080000000002</v>
      </c>
      <c r="K18" s="25">
        <v>8</v>
      </c>
      <c r="L18" s="15">
        <v>9</v>
      </c>
      <c r="M18" s="15">
        <f t="shared" si="1"/>
        <v>540</v>
      </c>
      <c r="N18" s="8">
        <f>I18/L18</f>
        <v>333.33333333333331</v>
      </c>
      <c r="O18" s="8">
        <f>I18/M18</f>
        <v>5.5555555555555554</v>
      </c>
      <c r="P18" s="9">
        <f>I18/K18</f>
        <v>375</v>
      </c>
      <c r="Q18" s="10">
        <v>115000</v>
      </c>
      <c r="R18" s="8">
        <f t="shared" si="8"/>
        <v>306.66666666666669</v>
      </c>
    </row>
    <row r="19" spans="1:18" ht="14.25" customHeight="1" x14ac:dyDescent="0.25">
      <c r="A19" s="10" t="s">
        <v>24</v>
      </c>
      <c r="B19" s="10" t="s">
        <v>25</v>
      </c>
      <c r="C19" s="10" t="str">
        <f t="shared" si="0"/>
        <v>RT-YQ1222443.7</v>
      </c>
      <c r="D19" s="10">
        <v>122</v>
      </c>
      <c r="E19" s="10">
        <v>244</v>
      </c>
      <c r="F19" s="10">
        <v>3.7</v>
      </c>
      <c r="G19" s="10"/>
      <c r="H19" s="12"/>
      <c r="I19" s="16">
        <v>2000</v>
      </c>
      <c r="J19" s="14">
        <f t="shared" si="6"/>
        <v>22.028320000000001</v>
      </c>
      <c r="K19" s="25">
        <v>8</v>
      </c>
      <c r="L19" s="15">
        <v>9</v>
      </c>
      <c r="M19" s="15">
        <f t="shared" si="1"/>
        <v>540</v>
      </c>
      <c r="N19" s="8">
        <f t="shared" si="7"/>
        <v>222.22222222222223</v>
      </c>
      <c r="O19" s="8">
        <f t="shared" si="3"/>
        <v>3.7037037037037037</v>
      </c>
      <c r="P19" s="9">
        <f t="shared" si="4"/>
        <v>250</v>
      </c>
      <c r="Q19" s="10">
        <v>115000</v>
      </c>
      <c r="R19" s="8">
        <f t="shared" si="8"/>
        <v>460</v>
      </c>
    </row>
    <row r="20" spans="1:18" ht="14.25" customHeight="1" x14ac:dyDescent="0.25">
      <c r="A20" s="10" t="s">
        <v>24</v>
      </c>
      <c r="B20" s="10" t="s">
        <v>25</v>
      </c>
      <c r="C20" s="10" t="str">
        <f t="shared" si="0"/>
        <v>RT-YQ1222444</v>
      </c>
      <c r="D20" s="10">
        <v>122</v>
      </c>
      <c r="E20" s="10">
        <v>244</v>
      </c>
      <c r="F20" s="10">
        <v>4</v>
      </c>
      <c r="G20" s="10"/>
      <c r="H20" s="12"/>
      <c r="I20" s="16">
        <v>1500</v>
      </c>
      <c r="J20" s="14">
        <f t="shared" si="6"/>
        <v>17.860800000000001</v>
      </c>
      <c r="K20" s="25">
        <v>8</v>
      </c>
      <c r="L20" s="15">
        <v>9</v>
      </c>
      <c r="M20" s="15">
        <f t="shared" si="1"/>
        <v>540</v>
      </c>
      <c r="N20" s="8">
        <f t="shared" si="7"/>
        <v>166.66666666666666</v>
      </c>
      <c r="O20" s="8">
        <f t="shared" si="3"/>
        <v>2.7777777777777777</v>
      </c>
      <c r="P20" s="9">
        <f t="shared" si="4"/>
        <v>187.5</v>
      </c>
      <c r="Q20" s="10">
        <v>115000</v>
      </c>
      <c r="R20" s="8">
        <f t="shared" si="8"/>
        <v>613.33333333333337</v>
      </c>
    </row>
    <row r="21" spans="1:18" ht="14.25" customHeight="1" x14ac:dyDescent="0.25">
      <c r="A21" s="10" t="s">
        <v>24</v>
      </c>
      <c r="B21" s="10" t="s">
        <v>25</v>
      </c>
      <c r="C21" s="10" t="str">
        <f t="shared" si="0"/>
        <v>RT-YQ1221302.7</v>
      </c>
      <c r="D21" s="10">
        <v>122</v>
      </c>
      <c r="E21" s="10">
        <v>130</v>
      </c>
      <c r="F21" s="10">
        <v>2.7</v>
      </c>
      <c r="G21" s="10"/>
      <c r="H21" s="12"/>
      <c r="I21" s="13">
        <v>5000</v>
      </c>
      <c r="J21" s="14">
        <f t="shared" si="6"/>
        <v>21.411000000000001</v>
      </c>
      <c r="K21" s="25">
        <v>8</v>
      </c>
      <c r="L21" s="15">
        <v>9</v>
      </c>
      <c r="M21" s="15">
        <f t="shared" si="1"/>
        <v>540</v>
      </c>
      <c r="N21" s="8">
        <f t="shared" si="7"/>
        <v>555.55555555555554</v>
      </c>
      <c r="O21" s="8">
        <f t="shared" si="3"/>
        <v>9.2592592592592595</v>
      </c>
      <c r="P21" s="9">
        <f t="shared" si="4"/>
        <v>625</v>
      </c>
      <c r="Q21" s="10">
        <v>115000</v>
      </c>
      <c r="R21" s="8">
        <f t="shared" si="8"/>
        <v>184</v>
      </c>
    </row>
    <row r="22" spans="1:18" ht="14.25" customHeight="1" x14ac:dyDescent="0.25">
      <c r="A22" s="10" t="s">
        <v>24</v>
      </c>
      <c r="B22" s="10" t="s">
        <v>25</v>
      </c>
      <c r="C22" s="10" t="str">
        <f t="shared" si="0"/>
        <v>RT-YQ1221303.7</v>
      </c>
      <c r="D22" s="10">
        <v>122</v>
      </c>
      <c r="E22" s="10">
        <v>130</v>
      </c>
      <c r="F22" s="10">
        <v>3.7</v>
      </c>
      <c r="G22" s="10"/>
      <c r="H22" s="12"/>
      <c r="I22" s="13">
        <v>4000</v>
      </c>
      <c r="J22" s="14">
        <f t="shared" si="6"/>
        <v>23.472799999999999</v>
      </c>
      <c r="K22" s="25">
        <v>8</v>
      </c>
      <c r="L22" s="15">
        <v>9</v>
      </c>
      <c r="M22" s="15">
        <f t="shared" si="1"/>
        <v>540</v>
      </c>
      <c r="N22" s="8">
        <f t="shared" si="7"/>
        <v>444.44444444444446</v>
      </c>
      <c r="O22" s="8">
        <f t="shared" si="3"/>
        <v>7.4074074074074074</v>
      </c>
      <c r="P22" s="9">
        <f t="shared" si="4"/>
        <v>500</v>
      </c>
      <c r="Q22" s="10">
        <v>115000</v>
      </c>
      <c r="R22" s="8">
        <f t="shared" si="8"/>
        <v>230</v>
      </c>
    </row>
    <row r="23" spans="1:18" ht="14.25" customHeight="1" x14ac:dyDescent="0.25">
      <c r="A23" s="10" t="s">
        <v>24</v>
      </c>
      <c r="B23" s="10" t="s">
        <v>25</v>
      </c>
      <c r="C23" s="10" t="str">
        <f t="shared" si="0"/>
        <v>RT-YQ1221304</v>
      </c>
      <c r="D23" s="10">
        <v>122</v>
      </c>
      <c r="E23" s="10">
        <v>130</v>
      </c>
      <c r="F23" s="10">
        <v>4</v>
      </c>
      <c r="G23" s="10"/>
      <c r="H23" s="12"/>
      <c r="I23" s="13">
        <v>3000</v>
      </c>
      <c r="J23" s="14">
        <f>D23*E23*F23*I23/10000000</f>
        <v>19.032</v>
      </c>
      <c r="K23" s="25">
        <v>8</v>
      </c>
      <c r="L23" s="15">
        <v>9</v>
      </c>
      <c r="M23" s="15">
        <f t="shared" si="1"/>
        <v>540</v>
      </c>
      <c r="N23" s="8">
        <f>I23/L23</f>
        <v>333.33333333333331</v>
      </c>
      <c r="O23" s="8">
        <f>I23/M23</f>
        <v>5.5555555555555554</v>
      </c>
      <c r="P23" s="9">
        <f>I23/K23</f>
        <v>375</v>
      </c>
      <c r="Q23" s="10">
        <v>115000</v>
      </c>
      <c r="R23" s="8">
        <f t="shared" si="8"/>
        <v>306.66666666666669</v>
      </c>
    </row>
    <row r="24" spans="1:18" ht="14.25" customHeight="1" x14ac:dyDescent="0.25">
      <c r="A24" s="4" t="s">
        <v>26</v>
      </c>
      <c r="B24" s="26" t="s">
        <v>27</v>
      </c>
      <c r="C24" s="4" t="str">
        <f t="shared" si="0"/>
        <v>SP-PS1301303.7</v>
      </c>
      <c r="D24" s="4">
        <v>130</v>
      </c>
      <c r="E24" s="4">
        <v>130</v>
      </c>
      <c r="F24" s="4">
        <v>3.7</v>
      </c>
      <c r="G24" s="4"/>
      <c r="H24" s="5"/>
      <c r="I24" s="6">
        <v>150</v>
      </c>
      <c r="J24" s="7">
        <f>D24*E24*I24/1000000</f>
        <v>2.5350000000000001</v>
      </c>
      <c r="K24" s="5">
        <v>1</v>
      </c>
      <c r="L24" s="5">
        <v>9</v>
      </c>
      <c r="M24" s="5">
        <f t="shared" si="1"/>
        <v>540</v>
      </c>
      <c r="N24" s="8">
        <f t="shared" ref="N24:N33" si="9">I24/L24</f>
        <v>16.666666666666668</v>
      </c>
      <c r="O24" s="8">
        <f t="shared" ref="O24:O33" si="10">I24/M24</f>
        <v>0.27777777777777779</v>
      </c>
      <c r="P24" s="9">
        <f t="shared" ref="P24:P33" si="11">I24/K24</f>
        <v>150</v>
      </c>
      <c r="Q24" s="10">
        <v>115001</v>
      </c>
      <c r="R24" s="8">
        <f t="shared" si="8"/>
        <v>766.67333333333329</v>
      </c>
    </row>
    <row r="25" spans="1:18" ht="14.25" customHeight="1" x14ac:dyDescent="0.25">
      <c r="A25" s="4" t="s">
        <v>26</v>
      </c>
      <c r="B25" s="4" t="s">
        <v>27</v>
      </c>
      <c r="C25" s="4" t="str">
        <f t="shared" si="0"/>
        <v>SP-PS48483.7</v>
      </c>
      <c r="D25" s="4">
        <v>48</v>
      </c>
      <c r="E25" s="4">
        <v>48</v>
      </c>
      <c r="F25" s="4">
        <v>3.7</v>
      </c>
      <c r="G25" s="4"/>
      <c r="H25" s="5"/>
      <c r="I25" s="6">
        <v>275</v>
      </c>
      <c r="J25" s="7">
        <f t="shared" ref="J25:J34" si="12">D25*E25*I25/1000000</f>
        <v>0.63360000000000005</v>
      </c>
      <c r="K25" s="5">
        <v>1</v>
      </c>
      <c r="L25" s="5">
        <v>9</v>
      </c>
      <c r="M25" s="5">
        <f t="shared" si="1"/>
        <v>540</v>
      </c>
      <c r="N25" s="8">
        <f t="shared" si="9"/>
        <v>30.555555555555557</v>
      </c>
      <c r="O25" s="8">
        <f t="shared" si="10"/>
        <v>0.5092592592592593</v>
      </c>
      <c r="P25" s="9">
        <f t="shared" si="11"/>
        <v>275</v>
      </c>
      <c r="Q25" s="10">
        <v>115002</v>
      </c>
      <c r="R25" s="8">
        <f t="shared" si="8"/>
        <v>418.18909090909091</v>
      </c>
    </row>
    <row r="26" spans="1:18" ht="14.25" customHeight="1" x14ac:dyDescent="0.25">
      <c r="A26" s="4" t="s">
        <v>26</v>
      </c>
      <c r="B26" s="4" t="s">
        <v>27</v>
      </c>
      <c r="C26" s="4" t="str">
        <f t="shared" si="0"/>
        <v>SP-PS68683.7</v>
      </c>
      <c r="D26" s="4">
        <v>68</v>
      </c>
      <c r="E26" s="4">
        <v>68</v>
      </c>
      <c r="F26" s="4">
        <v>3.7</v>
      </c>
      <c r="G26" s="4"/>
      <c r="H26" s="5"/>
      <c r="I26" s="6">
        <v>275</v>
      </c>
      <c r="J26" s="7">
        <f t="shared" si="12"/>
        <v>1.2716000000000001</v>
      </c>
      <c r="K26" s="5">
        <v>1</v>
      </c>
      <c r="L26" s="5">
        <v>9</v>
      </c>
      <c r="M26" s="5">
        <f t="shared" si="1"/>
        <v>540</v>
      </c>
      <c r="N26" s="8">
        <f t="shared" si="9"/>
        <v>30.555555555555557</v>
      </c>
      <c r="O26" s="8">
        <f t="shared" si="10"/>
        <v>0.5092592592592593</v>
      </c>
      <c r="P26" s="9">
        <f t="shared" si="11"/>
        <v>275</v>
      </c>
      <c r="Q26" s="10">
        <v>115003</v>
      </c>
      <c r="R26" s="8">
        <f t="shared" si="8"/>
        <v>418.19272727272727</v>
      </c>
    </row>
    <row r="27" spans="1:18" ht="14.25" customHeight="1" x14ac:dyDescent="0.25">
      <c r="A27" s="4" t="s">
        <v>26</v>
      </c>
      <c r="B27" s="4" t="s">
        <v>27</v>
      </c>
      <c r="C27" s="4" t="str">
        <f t="shared" si="0"/>
        <v>SP-PS48482.2</v>
      </c>
      <c r="D27" s="4">
        <v>48</v>
      </c>
      <c r="E27" s="4">
        <v>48</v>
      </c>
      <c r="F27" s="4">
        <v>2.2000000000000002</v>
      </c>
      <c r="G27" s="4"/>
      <c r="H27" s="5"/>
      <c r="I27" s="6">
        <v>230</v>
      </c>
      <c r="J27" s="7">
        <f t="shared" si="12"/>
        <v>0.52991999999999995</v>
      </c>
      <c r="K27" s="5">
        <v>1</v>
      </c>
      <c r="L27" s="5">
        <v>9</v>
      </c>
      <c r="M27" s="5">
        <f t="shared" si="1"/>
        <v>540</v>
      </c>
      <c r="N27" s="8">
        <f t="shared" si="9"/>
        <v>25.555555555555557</v>
      </c>
      <c r="O27" s="8">
        <f t="shared" si="10"/>
        <v>0.42592592592592593</v>
      </c>
      <c r="P27" s="9">
        <f t="shared" si="11"/>
        <v>230</v>
      </c>
      <c r="Q27" s="10">
        <v>115004</v>
      </c>
      <c r="R27" s="8">
        <f t="shared" si="8"/>
        <v>500.01739130434783</v>
      </c>
    </row>
    <row r="28" spans="1:18" ht="14.25" customHeight="1" x14ac:dyDescent="0.25">
      <c r="A28" s="4" t="s">
        <v>26</v>
      </c>
      <c r="B28" s="4" t="s">
        <v>27</v>
      </c>
      <c r="C28" s="4" t="str">
        <f t="shared" si="0"/>
        <v>SP-PS68682.2</v>
      </c>
      <c r="D28" s="4">
        <v>68</v>
      </c>
      <c r="E28" s="4">
        <v>68</v>
      </c>
      <c r="F28" s="4">
        <v>2.2000000000000002</v>
      </c>
      <c r="G28" s="4"/>
      <c r="H28" s="5"/>
      <c r="I28" s="6">
        <v>230</v>
      </c>
      <c r="J28" s="7">
        <f t="shared" si="12"/>
        <v>1.06352</v>
      </c>
      <c r="K28" s="5">
        <v>1</v>
      </c>
      <c r="L28" s="5">
        <v>9</v>
      </c>
      <c r="M28" s="5">
        <f t="shared" si="1"/>
        <v>540</v>
      </c>
      <c r="N28" s="8">
        <f t="shared" si="9"/>
        <v>25.555555555555557</v>
      </c>
      <c r="O28" s="8">
        <f t="shared" si="10"/>
        <v>0.42592592592592593</v>
      </c>
      <c r="P28" s="9">
        <f t="shared" si="11"/>
        <v>230</v>
      </c>
      <c r="Q28" s="10">
        <v>115005</v>
      </c>
      <c r="R28" s="8">
        <f t="shared" si="8"/>
        <v>500.02173913043481</v>
      </c>
    </row>
    <row r="29" spans="1:18" ht="14.25" customHeight="1" x14ac:dyDescent="0.25">
      <c r="A29" s="4" t="s">
        <v>26</v>
      </c>
      <c r="B29" s="4" t="s">
        <v>27</v>
      </c>
      <c r="C29" s="4" t="str">
        <f t="shared" si="0"/>
        <v>SP-PS48481.8</v>
      </c>
      <c r="D29" s="4">
        <v>48</v>
      </c>
      <c r="E29" s="4">
        <v>48</v>
      </c>
      <c r="F29" s="4">
        <v>1.8</v>
      </c>
      <c r="G29" s="4"/>
      <c r="H29" s="5"/>
      <c r="I29" s="6">
        <v>150</v>
      </c>
      <c r="J29" s="7">
        <f t="shared" si="12"/>
        <v>0.34560000000000002</v>
      </c>
      <c r="K29" s="5">
        <v>1</v>
      </c>
      <c r="L29" s="5">
        <v>9</v>
      </c>
      <c r="M29" s="5">
        <f t="shared" si="1"/>
        <v>540</v>
      </c>
      <c r="N29" s="8">
        <f t="shared" si="9"/>
        <v>16.666666666666668</v>
      </c>
      <c r="O29" s="8">
        <f t="shared" si="10"/>
        <v>0.27777777777777779</v>
      </c>
      <c r="P29" s="9">
        <f t="shared" si="11"/>
        <v>150</v>
      </c>
      <c r="Q29" s="10">
        <v>115006</v>
      </c>
      <c r="R29" s="8">
        <f t="shared" si="8"/>
        <v>766.70666666666671</v>
      </c>
    </row>
    <row r="30" spans="1:18" ht="14.25" customHeight="1" x14ac:dyDescent="0.25">
      <c r="A30" s="4" t="s">
        <v>26</v>
      </c>
      <c r="B30" s="4" t="s">
        <v>27</v>
      </c>
      <c r="C30" s="4" t="str">
        <f t="shared" si="0"/>
        <v>SP-PS68681.8</v>
      </c>
      <c r="D30" s="4">
        <v>68</v>
      </c>
      <c r="E30" s="4">
        <v>68</v>
      </c>
      <c r="F30" s="4">
        <v>1.8</v>
      </c>
      <c r="G30" s="4"/>
      <c r="H30" s="5"/>
      <c r="I30" s="6">
        <v>150</v>
      </c>
      <c r="J30" s="7">
        <f t="shared" si="12"/>
        <v>0.69359999999999999</v>
      </c>
      <c r="K30" s="5">
        <v>1</v>
      </c>
      <c r="L30" s="5">
        <v>9</v>
      </c>
      <c r="M30" s="5">
        <f t="shared" si="1"/>
        <v>540</v>
      </c>
      <c r="N30" s="8">
        <f t="shared" si="9"/>
        <v>16.666666666666668</v>
      </c>
      <c r="O30" s="8">
        <f t="shared" si="10"/>
        <v>0.27777777777777779</v>
      </c>
      <c r="P30" s="9">
        <f t="shared" si="11"/>
        <v>150</v>
      </c>
      <c r="Q30" s="10">
        <v>115007</v>
      </c>
      <c r="R30" s="8">
        <f t="shared" si="8"/>
        <v>766.71333333333337</v>
      </c>
    </row>
    <row r="31" spans="1:18" ht="14.25" customHeight="1" x14ac:dyDescent="0.25">
      <c r="A31" s="4" t="s">
        <v>26</v>
      </c>
      <c r="B31" s="4" t="s">
        <v>27</v>
      </c>
      <c r="C31" s="4" t="str">
        <f t="shared" si="0"/>
        <v>SP-PS1301301.8</v>
      </c>
      <c r="D31" s="4">
        <v>130</v>
      </c>
      <c r="E31" s="4">
        <v>130</v>
      </c>
      <c r="F31" s="4">
        <v>1.8</v>
      </c>
      <c r="G31" s="4"/>
      <c r="H31" s="5"/>
      <c r="I31" s="6">
        <v>135</v>
      </c>
      <c r="J31" s="7">
        <f t="shared" si="12"/>
        <v>2.2814999999999999</v>
      </c>
      <c r="K31" s="5">
        <v>1</v>
      </c>
      <c r="L31" s="5">
        <v>9</v>
      </c>
      <c r="M31" s="5">
        <f t="shared" si="1"/>
        <v>540</v>
      </c>
      <c r="N31" s="8">
        <f t="shared" si="9"/>
        <v>15</v>
      </c>
      <c r="O31" s="8">
        <f t="shared" si="10"/>
        <v>0.25</v>
      </c>
      <c r="P31" s="9">
        <f t="shared" si="11"/>
        <v>135</v>
      </c>
      <c r="Q31" s="10">
        <v>115008</v>
      </c>
      <c r="R31" s="8">
        <f t="shared" si="8"/>
        <v>851.91111111111115</v>
      </c>
    </row>
    <row r="32" spans="1:18" ht="14.25" customHeight="1" x14ac:dyDescent="0.25">
      <c r="A32" s="4" t="s">
        <v>26</v>
      </c>
      <c r="B32" s="4" t="s">
        <v>27</v>
      </c>
      <c r="C32" s="4" t="str">
        <f t="shared" si="0"/>
        <v>SP-PS70550.5</v>
      </c>
      <c r="D32" s="4">
        <v>70</v>
      </c>
      <c r="E32" s="4">
        <v>55</v>
      </c>
      <c r="F32" s="4">
        <v>0.5</v>
      </c>
      <c r="G32" s="4"/>
      <c r="H32" s="5"/>
      <c r="I32" s="6">
        <v>80</v>
      </c>
      <c r="J32" s="7">
        <f t="shared" si="12"/>
        <v>0.308</v>
      </c>
      <c r="K32" s="5">
        <v>1</v>
      </c>
      <c r="L32" s="5">
        <v>9</v>
      </c>
      <c r="M32" s="5">
        <f t="shared" si="1"/>
        <v>540</v>
      </c>
      <c r="N32" s="8">
        <f t="shared" si="9"/>
        <v>8.8888888888888893</v>
      </c>
      <c r="O32" s="8">
        <f t="shared" si="10"/>
        <v>0.14814814814814814</v>
      </c>
      <c r="P32" s="9">
        <f t="shared" si="11"/>
        <v>80</v>
      </c>
      <c r="Q32" s="10">
        <v>115009</v>
      </c>
      <c r="R32" s="8">
        <f t="shared" si="8"/>
        <v>1437.6125</v>
      </c>
    </row>
    <row r="33" spans="1:19" ht="14.25" customHeight="1" x14ac:dyDescent="0.25">
      <c r="A33" s="4" t="s">
        <v>26</v>
      </c>
      <c r="B33" s="4" t="s">
        <v>27</v>
      </c>
      <c r="C33" s="4" t="str">
        <f t="shared" si="0"/>
        <v>SP-PS110550.5</v>
      </c>
      <c r="D33" s="4">
        <v>110</v>
      </c>
      <c r="E33" s="4">
        <v>55</v>
      </c>
      <c r="F33" s="4">
        <v>0.5</v>
      </c>
      <c r="G33" s="4"/>
      <c r="H33" s="5"/>
      <c r="I33" s="6">
        <v>70</v>
      </c>
      <c r="J33" s="7">
        <f t="shared" si="12"/>
        <v>0.42349999999999999</v>
      </c>
      <c r="K33" s="5">
        <v>1</v>
      </c>
      <c r="L33" s="5">
        <v>9</v>
      </c>
      <c r="M33" s="5">
        <f t="shared" si="1"/>
        <v>540</v>
      </c>
      <c r="N33" s="8">
        <f t="shared" si="9"/>
        <v>7.7777777777777777</v>
      </c>
      <c r="O33" s="8">
        <f t="shared" si="10"/>
        <v>0.12962962962962962</v>
      </c>
      <c r="P33" s="9">
        <f t="shared" si="11"/>
        <v>70</v>
      </c>
      <c r="Q33" s="10">
        <v>115010</v>
      </c>
      <c r="R33" s="8">
        <f t="shared" si="8"/>
        <v>1643</v>
      </c>
    </row>
    <row r="34" spans="1:19" s="33" customFormat="1" ht="14.25" customHeight="1" x14ac:dyDescent="0.25">
      <c r="A34" s="27" t="s">
        <v>26</v>
      </c>
      <c r="B34" s="27" t="s">
        <v>27</v>
      </c>
      <c r="C34" s="27" t="str">
        <f t="shared" si="0"/>
        <v>SP-PS2441220.5</v>
      </c>
      <c r="D34" s="27">
        <v>244</v>
      </c>
      <c r="E34" s="27">
        <v>122</v>
      </c>
      <c r="F34" s="27">
        <v>0.5</v>
      </c>
      <c r="G34" s="27"/>
      <c r="H34" s="28"/>
      <c r="I34" s="29"/>
      <c r="J34" s="7">
        <f t="shared" si="12"/>
        <v>0</v>
      </c>
      <c r="K34" s="28">
        <v>1</v>
      </c>
      <c r="L34" s="28">
        <v>9</v>
      </c>
      <c r="M34" s="28">
        <f>L34*60</f>
        <v>540</v>
      </c>
      <c r="N34" s="30"/>
      <c r="O34" s="30"/>
      <c r="P34" s="31"/>
      <c r="Q34" s="32"/>
      <c r="R34" s="30"/>
    </row>
    <row r="35" spans="1:19" ht="14.25" customHeight="1" x14ac:dyDescent="0.25">
      <c r="A35" s="4" t="s">
        <v>28</v>
      </c>
      <c r="B35" s="4" t="s">
        <v>29</v>
      </c>
      <c r="C35" s="4" t="str">
        <f t="shared" si="0"/>
        <v>DY-1</v>
      </c>
      <c r="D35" s="4"/>
      <c r="E35" s="4"/>
      <c r="F35" s="4"/>
      <c r="G35" s="4"/>
      <c r="H35" s="34"/>
      <c r="I35" s="6"/>
      <c r="J35" s="29">
        <v>6</v>
      </c>
      <c r="K35" s="28">
        <v>8</v>
      </c>
      <c r="L35" s="5">
        <v>11</v>
      </c>
      <c r="M35" s="5">
        <f>L35*60</f>
        <v>660</v>
      </c>
      <c r="N35" s="8">
        <f t="shared" si="7"/>
        <v>0</v>
      </c>
      <c r="O35" s="35">
        <f t="shared" si="3"/>
        <v>0</v>
      </c>
      <c r="P35" s="36">
        <f t="shared" si="4"/>
        <v>0</v>
      </c>
      <c r="Q35" s="10">
        <v>115000</v>
      </c>
      <c r="R35" s="8" t="e">
        <f t="shared" si="8"/>
        <v>#DIV/0!</v>
      </c>
    </row>
    <row r="36" spans="1:19" ht="14.25" customHeight="1" x14ac:dyDescent="0.25">
      <c r="A36" s="4" t="s">
        <v>30</v>
      </c>
      <c r="B36" s="4" t="s">
        <v>31</v>
      </c>
      <c r="C36" s="4" t="str">
        <f t="shared" si="0"/>
        <v>DY-2</v>
      </c>
      <c r="D36" s="4"/>
      <c r="E36" s="4"/>
      <c r="F36" s="4"/>
      <c r="G36" s="4"/>
      <c r="H36" s="34"/>
      <c r="I36" s="6"/>
      <c r="J36" s="6">
        <v>8</v>
      </c>
      <c r="K36" s="5">
        <v>6</v>
      </c>
      <c r="L36" s="5">
        <v>12</v>
      </c>
      <c r="M36" s="5">
        <f t="shared" si="1"/>
        <v>720</v>
      </c>
      <c r="N36" s="8">
        <f t="shared" si="7"/>
        <v>0</v>
      </c>
      <c r="O36" s="35">
        <f t="shared" si="3"/>
        <v>0</v>
      </c>
      <c r="P36" s="36">
        <f t="shared" si="4"/>
        <v>0</v>
      </c>
      <c r="Q36" s="10">
        <v>115000</v>
      </c>
      <c r="R36" s="8" t="e">
        <f t="shared" si="8"/>
        <v>#DIV/0!</v>
      </c>
    </row>
    <row r="37" spans="1:19" ht="14.25" customHeight="1" x14ac:dyDescent="0.25">
      <c r="A37" s="32" t="s">
        <v>32</v>
      </c>
      <c r="B37" s="32"/>
      <c r="C37" s="32" t="str">
        <f t="shared" si="0"/>
        <v>2441220.5</v>
      </c>
      <c r="D37" s="32">
        <v>244</v>
      </c>
      <c r="E37" s="32">
        <v>122</v>
      </c>
      <c r="F37" s="32">
        <v>0.5</v>
      </c>
      <c r="G37" s="32"/>
      <c r="H37" s="37"/>
      <c r="I37" s="13">
        <v>2400</v>
      </c>
      <c r="J37" s="14">
        <f t="shared" ref="J37:J100" si="13">D37*E37*F37*I37/10000000</f>
        <v>3.5721599999999998</v>
      </c>
      <c r="K37" s="15">
        <v>3</v>
      </c>
      <c r="L37" s="15">
        <v>9</v>
      </c>
      <c r="M37" s="15">
        <f t="shared" si="1"/>
        <v>540</v>
      </c>
      <c r="N37" s="8">
        <f t="shared" si="7"/>
        <v>266.66666666666669</v>
      </c>
      <c r="O37" s="8">
        <f t="shared" si="3"/>
        <v>4.4444444444444446</v>
      </c>
      <c r="P37" s="9">
        <f t="shared" si="4"/>
        <v>800</v>
      </c>
      <c r="Q37" s="10">
        <v>115000</v>
      </c>
      <c r="R37" s="8">
        <f t="shared" si="8"/>
        <v>143.75</v>
      </c>
      <c r="S37" s="2" t="s">
        <v>33</v>
      </c>
    </row>
    <row r="38" spans="1:19" ht="14.25" customHeight="1" x14ac:dyDescent="0.25">
      <c r="A38" s="32" t="s">
        <v>32</v>
      </c>
      <c r="B38" s="32"/>
      <c r="C38" s="32" t="str">
        <f t="shared" si="0"/>
        <v>1222443.7</v>
      </c>
      <c r="D38" s="32">
        <v>122</v>
      </c>
      <c r="E38" s="32">
        <v>244</v>
      </c>
      <c r="F38" s="32">
        <v>3.7</v>
      </c>
      <c r="G38" s="32"/>
      <c r="H38" s="37"/>
      <c r="I38" s="13">
        <v>1368</v>
      </c>
      <c r="J38" s="14">
        <f t="shared" si="13"/>
        <v>15.06737088</v>
      </c>
      <c r="K38" s="15">
        <v>3</v>
      </c>
      <c r="L38" s="15">
        <v>9</v>
      </c>
      <c r="M38" s="15">
        <f t="shared" si="1"/>
        <v>540</v>
      </c>
      <c r="N38" s="8">
        <f t="shared" si="7"/>
        <v>152</v>
      </c>
      <c r="O38" s="8">
        <f t="shared" si="3"/>
        <v>2.5333333333333332</v>
      </c>
      <c r="P38" s="9">
        <f t="shared" si="4"/>
        <v>456</v>
      </c>
      <c r="Q38" s="10">
        <v>115000</v>
      </c>
      <c r="R38" s="8">
        <f t="shared" si="8"/>
        <v>252.19298245614036</v>
      </c>
    </row>
    <row r="39" spans="1:19" ht="14.25" customHeight="1" x14ac:dyDescent="0.25">
      <c r="A39" s="32" t="s">
        <v>32</v>
      </c>
      <c r="B39" s="32"/>
      <c r="C39" s="32" t="str">
        <f t="shared" si="0"/>
        <v>1222441.8</v>
      </c>
      <c r="D39" s="32">
        <v>122</v>
      </c>
      <c r="E39" s="32">
        <v>244</v>
      </c>
      <c r="F39" s="32">
        <v>1.8</v>
      </c>
      <c r="G39" s="32"/>
      <c r="H39" s="37"/>
      <c r="I39" s="13">
        <v>1824</v>
      </c>
      <c r="J39" s="14">
        <f t="shared" si="13"/>
        <v>9.7734297600000009</v>
      </c>
      <c r="K39" s="15">
        <v>3</v>
      </c>
      <c r="L39" s="15">
        <v>9</v>
      </c>
      <c r="M39" s="15">
        <f t="shared" si="1"/>
        <v>540</v>
      </c>
      <c r="N39" s="8">
        <f t="shared" si="7"/>
        <v>202.66666666666666</v>
      </c>
      <c r="O39" s="8">
        <f t="shared" si="3"/>
        <v>3.3777777777777778</v>
      </c>
      <c r="P39" s="9">
        <f t="shared" si="4"/>
        <v>608</v>
      </c>
      <c r="Q39" s="10">
        <v>115000</v>
      </c>
      <c r="R39" s="8">
        <f t="shared" si="8"/>
        <v>189.14473684210526</v>
      </c>
    </row>
    <row r="40" spans="1:19" ht="14.25" customHeight="1" x14ac:dyDescent="0.25">
      <c r="A40" s="32" t="s">
        <v>32</v>
      </c>
      <c r="B40" s="32"/>
      <c r="C40" s="32" t="str">
        <f t="shared" si="0"/>
        <v>1221303.7</v>
      </c>
      <c r="D40" s="32">
        <v>122</v>
      </c>
      <c r="E40" s="32">
        <v>130</v>
      </c>
      <c r="F40" s="32">
        <v>3.7</v>
      </c>
      <c r="G40" s="32"/>
      <c r="H40" s="37"/>
      <c r="I40" s="13">
        <v>2736</v>
      </c>
      <c r="J40" s="14">
        <f t="shared" si="13"/>
        <v>16.0553952</v>
      </c>
      <c r="K40" s="15">
        <v>3</v>
      </c>
      <c r="L40" s="15">
        <v>9</v>
      </c>
      <c r="M40" s="15">
        <f t="shared" si="1"/>
        <v>540</v>
      </c>
      <c r="N40" s="8">
        <f t="shared" si="7"/>
        <v>304</v>
      </c>
      <c r="O40" s="8">
        <f t="shared" si="3"/>
        <v>5.0666666666666664</v>
      </c>
      <c r="P40" s="9">
        <f t="shared" si="4"/>
        <v>912</v>
      </c>
      <c r="Q40" s="10">
        <v>115000</v>
      </c>
      <c r="R40" s="8">
        <f t="shared" si="8"/>
        <v>126.09649122807018</v>
      </c>
    </row>
    <row r="41" spans="1:19" ht="14.25" customHeight="1" x14ac:dyDescent="0.25">
      <c r="A41" s="32" t="s">
        <v>32</v>
      </c>
      <c r="B41" s="32"/>
      <c r="C41" s="32" t="str">
        <f t="shared" si="0"/>
        <v>1221301.8</v>
      </c>
      <c r="D41" s="32">
        <v>122</v>
      </c>
      <c r="E41" s="32">
        <v>130</v>
      </c>
      <c r="F41" s="32">
        <v>1.8</v>
      </c>
      <c r="G41" s="32"/>
      <c r="H41" s="37"/>
      <c r="I41" s="13">
        <v>3648</v>
      </c>
      <c r="J41" s="14">
        <f t="shared" si="13"/>
        <v>10.4143104</v>
      </c>
      <c r="K41" s="15">
        <v>3</v>
      </c>
      <c r="L41" s="15">
        <v>9</v>
      </c>
      <c r="M41" s="15">
        <f t="shared" si="1"/>
        <v>540</v>
      </c>
      <c r="N41" s="8">
        <f t="shared" si="7"/>
        <v>405.33333333333331</v>
      </c>
      <c r="O41" s="8">
        <f t="shared" si="3"/>
        <v>6.7555555555555555</v>
      </c>
      <c r="P41" s="9">
        <f t="shared" si="4"/>
        <v>1216</v>
      </c>
      <c r="Q41" s="10">
        <v>115000</v>
      </c>
      <c r="R41" s="8">
        <f t="shared" si="8"/>
        <v>94.57236842105263</v>
      </c>
    </row>
    <row r="42" spans="1:19" ht="14.25" customHeight="1" x14ac:dyDescent="0.25">
      <c r="A42" s="32" t="s">
        <v>32</v>
      </c>
      <c r="B42" s="32"/>
      <c r="C42" s="32" t="str">
        <f t="shared" si="0"/>
        <v>122653.7</v>
      </c>
      <c r="D42" s="32">
        <v>122</v>
      </c>
      <c r="E42" s="32">
        <v>65</v>
      </c>
      <c r="F42" s="32">
        <v>3.7</v>
      </c>
      <c r="G42" s="32"/>
      <c r="H42" s="37"/>
      <c r="I42" s="13">
        <v>4104</v>
      </c>
      <c r="J42" s="14">
        <f t="shared" si="13"/>
        <v>12.0415464</v>
      </c>
      <c r="K42" s="15">
        <v>3</v>
      </c>
      <c r="L42" s="15">
        <v>9</v>
      </c>
      <c r="M42" s="15">
        <f t="shared" si="1"/>
        <v>540</v>
      </c>
      <c r="N42" s="8">
        <f t="shared" si="7"/>
        <v>456</v>
      </c>
      <c r="O42" s="8">
        <f t="shared" si="3"/>
        <v>7.6</v>
      </c>
      <c r="P42" s="9">
        <f t="shared" si="4"/>
        <v>1368</v>
      </c>
      <c r="Q42" s="10">
        <v>115000</v>
      </c>
      <c r="R42" s="8">
        <f t="shared" si="8"/>
        <v>84.064327485380119</v>
      </c>
    </row>
    <row r="43" spans="1:19" ht="14.25" customHeight="1" x14ac:dyDescent="0.25">
      <c r="A43" s="32" t="s">
        <v>34</v>
      </c>
      <c r="B43" s="32"/>
      <c r="C43" s="32" t="str">
        <f t="shared" si="0"/>
        <v>2441220.5</v>
      </c>
      <c r="D43" s="32">
        <v>244</v>
      </c>
      <c r="E43" s="32">
        <v>122</v>
      </c>
      <c r="F43" s="32">
        <v>0.5</v>
      </c>
      <c r="G43" s="32"/>
      <c r="H43" s="37"/>
      <c r="I43" s="13">
        <v>1600</v>
      </c>
      <c r="J43" s="14">
        <f t="shared" si="13"/>
        <v>2.38144</v>
      </c>
      <c r="K43" s="15">
        <v>2</v>
      </c>
      <c r="L43" s="15">
        <v>9</v>
      </c>
      <c r="M43" s="15">
        <f t="shared" si="1"/>
        <v>540</v>
      </c>
      <c r="N43" s="8">
        <f t="shared" si="7"/>
        <v>177.77777777777777</v>
      </c>
      <c r="O43" s="8">
        <f t="shared" si="3"/>
        <v>2.9629629629629628</v>
      </c>
      <c r="P43" s="9">
        <f t="shared" si="4"/>
        <v>800</v>
      </c>
      <c r="Q43" s="10">
        <v>115000</v>
      </c>
      <c r="R43" s="8">
        <f t="shared" si="8"/>
        <v>143.75</v>
      </c>
      <c r="S43" s="2" t="s">
        <v>35</v>
      </c>
    </row>
    <row r="44" spans="1:19" ht="14.25" customHeight="1" x14ac:dyDescent="0.25">
      <c r="A44" s="32" t="s">
        <v>34</v>
      </c>
      <c r="B44" s="32"/>
      <c r="C44" s="32" t="str">
        <f t="shared" si="0"/>
        <v>2441220.5</v>
      </c>
      <c r="D44" s="32">
        <v>244</v>
      </c>
      <c r="E44" s="32">
        <v>122</v>
      </c>
      <c r="F44" s="32">
        <v>0.5</v>
      </c>
      <c r="G44" s="32" t="s">
        <v>36</v>
      </c>
      <c r="H44" s="37"/>
      <c r="I44" s="13">
        <v>1000</v>
      </c>
      <c r="J44" s="14">
        <f t="shared" si="13"/>
        <v>1.4883999999999999</v>
      </c>
      <c r="K44" s="15">
        <v>2</v>
      </c>
      <c r="L44" s="15">
        <v>9</v>
      </c>
      <c r="M44" s="15">
        <f t="shared" si="1"/>
        <v>540</v>
      </c>
      <c r="N44" s="8">
        <f t="shared" si="7"/>
        <v>111.11111111111111</v>
      </c>
      <c r="O44" s="8">
        <f t="shared" si="3"/>
        <v>1.8518518518518519</v>
      </c>
      <c r="P44" s="9">
        <f t="shared" si="4"/>
        <v>500</v>
      </c>
      <c r="Q44" s="10">
        <v>115000</v>
      </c>
      <c r="R44" s="8">
        <f t="shared" si="8"/>
        <v>230</v>
      </c>
    </row>
    <row r="45" spans="1:19" ht="14.25" customHeight="1" x14ac:dyDescent="0.25">
      <c r="A45" s="32" t="s">
        <v>34</v>
      </c>
      <c r="B45" s="32"/>
      <c r="C45" s="32" t="str">
        <f t="shared" si="0"/>
        <v>1222443.7</v>
      </c>
      <c r="D45" s="32">
        <v>122</v>
      </c>
      <c r="E45" s="32">
        <v>244</v>
      </c>
      <c r="F45" s="32">
        <v>3.7</v>
      </c>
      <c r="G45" s="32"/>
      <c r="H45" s="37"/>
      <c r="I45" s="13">
        <v>912</v>
      </c>
      <c r="J45" s="14">
        <f t="shared" si="13"/>
        <v>10.044913920000001</v>
      </c>
      <c r="K45" s="15">
        <v>2</v>
      </c>
      <c r="L45" s="15">
        <v>9</v>
      </c>
      <c r="M45" s="15">
        <f t="shared" si="1"/>
        <v>540</v>
      </c>
      <c r="N45" s="8">
        <f t="shared" si="7"/>
        <v>101.33333333333333</v>
      </c>
      <c r="O45" s="8">
        <f t="shared" si="3"/>
        <v>1.6888888888888889</v>
      </c>
      <c r="P45" s="9">
        <f t="shared" si="4"/>
        <v>456</v>
      </c>
      <c r="Q45" s="10">
        <v>115000</v>
      </c>
      <c r="R45" s="8">
        <f t="shared" si="8"/>
        <v>252.19298245614036</v>
      </c>
      <c r="S45" s="2" t="s">
        <v>37</v>
      </c>
    </row>
    <row r="46" spans="1:19" ht="14.25" customHeight="1" x14ac:dyDescent="0.25">
      <c r="A46" s="32" t="s">
        <v>34</v>
      </c>
      <c r="B46" s="32"/>
      <c r="C46" s="32" t="str">
        <f t="shared" si="0"/>
        <v>1222443.7</v>
      </c>
      <c r="D46" s="32">
        <v>122</v>
      </c>
      <c r="E46" s="32">
        <v>244</v>
      </c>
      <c r="F46" s="32">
        <v>3.7</v>
      </c>
      <c r="G46" s="32" t="s">
        <v>36</v>
      </c>
      <c r="H46" s="37"/>
      <c r="I46" s="13">
        <v>1368</v>
      </c>
      <c r="J46" s="14">
        <f t="shared" si="13"/>
        <v>15.06737088</v>
      </c>
      <c r="K46" s="15">
        <v>2</v>
      </c>
      <c r="L46" s="15">
        <v>9</v>
      </c>
      <c r="M46" s="15">
        <f t="shared" si="1"/>
        <v>540</v>
      </c>
      <c r="N46" s="8">
        <f t="shared" si="7"/>
        <v>152</v>
      </c>
      <c r="O46" s="8">
        <f t="shared" si="3"/>
        <v>2.5333333333333332</v>
      </c>
      <c r="P46" s="9">
        <f t="shared" si="4"/>
        <v>684</v>
      </c>
      <c r="Q46" s="10">
        <v>115000</v>
      </c>
      <c r="R46" s="8">
        <f t="shared" si="8"/>
        <v>168.12865497076024</v>
      </c>
    </row>
    <row r="47" spans="1:19" ht="14.25" customHeight="1" x14ac:dyDescent="0.25">
      <c r="A47" s="32" t="s">
        <v>34</v>
      </c>
      <c r="B47" s="32"/>
      <c r="C47" s="32" t="str">
        <f t="shared" si="0"/>
        <v>1222441.8</v>
      </c>
      <c r="D47" s="32">
        <v>122</v>
      </c>
      <c r="E47" s="32">
        <v>244</v>
      </c>
      <c r="F47" s="32">
        <v>1.8</v>
      </c>
      <c r="G47" s="32"/>
      <c r="H47" s="37"/>
      <c r="I47" s="13">
        <v>1216</v>
      </c>
      <c r="J47" s="14">
        <f t="shared" si="13"/>
        <v>6.5156198400000003</v>
      </c>
      <c r="K47" s="15">
        <v>2</v>
      </c>
      <c r="L47" s="15">
        <v>9</v>
      </c>
      <c r="M47" s="15">
        <f t="shared" si="1"/>
        <v>540</v>
      </c>
      <c r="N47" s="8">
        <f t="shared" si="7"/>
        <v>135.11111111111111</v>
      </c>
      <c r="O47" s="8">
        <f t="shared" si="3"/>
        <v>2.251851851851852</v>
      </c>
      <c r="P47" s="9">
        <f t="shared" si="4"/>
        <v>608</v>
      </c>
      <c r="Q47" s="10">
        <v>115000</v>
      </c>
      <c r="R47" s="8">
        <f t="shared" si="8"/>
        <v>189.14473684210526</v>
      </c>
    </row>
    <row r="48" spans="1:19" ht="14.25" customHeight="1" x14ac:dyDescent="0.25">
      <c r="A48" s="32" t="s">
        <v>34</v>
      </c>
      <c r="B48" s="32"/>
      <c r="C48" s="32" t="str">
        <f t="shared" si="0"/>
        <v>1221303.7</v>
      </c>
      <c r="D48" s="32">
        <v>122</v>
      </c>
      <c r="E48" s="32">
        <v>130</v>
      </c>
      <c r="F48" s="32">
        <v>3.7</v>
      </c>
      <c r="G48" s="32"/>
      <c r="H48" s="37"/>
      <c r="I48" s="13">
        <v>1596</v>
      </c>
      <c r="J48" s="14">
        <f t="shared" si="13"/>
        <v>9.3656471999999997</v>
      </c>
      <c r="K48" s="15">
        <v>2</v>
      </c>
      <c r="L48" s="15">
        <v>9</v>
      </c>
      <c r="M48" s="15">
        <f t="shared" si="1"/>
        <v>540</v>
      </c>
      <c r="N48" s="8">
        <f t="shared" si="7"/>
        <v>177.33333333333334</v>
      </c>
      <c r="O48" s="8">
        <f t="shared" si="3"/>
        <v>2.9555555555555557</v>
      </c>
      <c r="P48" s="9">
        <f t="shared" si="4"/>
        <v>798</v>
      </c>
      <c r="Q48" s="10">
        <v>115000</v>
      </c>
      <c r="R48" s="8">
        <f t="shared" si="8"/>
        <v>144.11027568922304</v>
      </c>
    </row>
    <row r="49" spans="1:18" ht="14.25" customHeight="1" x14ac:dyDescent="0.25">
      <c r="A49" s="32" t="s">
        <v>34</v>
      </c>
      <c r="B49" s="32"/>
      <c r="C49" s="32" t="str">
        <f t="shared" si="0"/>
        <v>1221301.8</v>
      </c>
      <c r="D49" s="32">
        <v>122</v>
      </c>
      <c r="E49" s="32">
        <v>130</v>
      </c>
      <c r="F49" s="32">
        <v>1.8</v>
      </c>
      <c r="G49" s="32"/>
      <c r="H49" s="37"/>
      <c r="I49" s="13">
        <v>2128</v>
      </c>
      <c r="J49" s="14">
        <f t="shared" si="13"/>
        <v>6.0750143999999997</v>
      </c>
      <c r="K49" s="15">
        <v>2</v>
      </c>
      <c r="L49" s="15">
        <v>9</v>
      </c>
      <c r="M49" s="15">
        <f t="shared" si="1"/>
        <v>540</v>
      </c>
      <c r="N49" s="8">
        <f t="shared" si="7"/>
        <v>236.44444444444446</v>
      </c>
      <c r="O49" s="8">
        <f t="shared" si="3"/>
        <v>3.9407407407407407</v>
      </c>
      <c r="P49" s="9">
        <f t="shared" si="4"/>
        <v>1064</v>
      </c>
      <c r="Q49" s="10">
        <v>115000</v>
      </c>
      <c r="R49" s="8">
        <f t="shared" si="8"/>
        <v>108.0827067669173</v>
      </c>
    </row>
    <row r="50" spans="1:18" ht="14.25" customHeight="1" x14ac:dyDescent="0.25">
      <c r="A50" s="32" t="s">
        <v>34</v>
      </c>
      <c r="B50" s="32"/>
      <c r="C50" s="32" t="str">
        <f t="shared" si="0"/>
        <v>122653.7</v>
      </c>
      <c r="D50" s="32">
        <v>122</v>
      </c>
      <c r="E50" s="32">
        <v>65</v>
      </c>
      <c r="F50" s="32">
        <v>3.7</v>
      </c>
      <c r="G50" s="32"/>
      <c r="H50" s="37"/>
      <c r="I50" s="13">
        <v>2736</v>
      </c>
      <c r="J50" s="14">
        <f t="shared" si="13"/>
        <v>8.0276975999999998</v>
      </c>
      <c r="K50" s="15">
        <v>2</v>
      </c>
      <c r="L50" s="15">
        <v>9</v>
      </c>
      <c r="M50" s="15">
        <f t="shared" si="1"/>
        <v>540</v>
      </c>
      <c r="N50" s="8">
        <f t="shared" si="7"/>
        <v>304</v>
      </c>
      <c r="O50" s="8">
        <f t="shared" si="3"/>
        <v>5.0666666666666664</v>
      </c>
      <c r="P50" s="9">
        <f t="shared" si="4"/>
        <v>1368</v>
      </c>
      <c r="Q50" s="10">
        <v>115000</v>
      </c>
      <c r="R50" s="8">
        <f t="shared" si="8"/>
        <v>84.064327485380119</v>
      </c>
    </row>
    <row r="51" spans="1:18" ht="14.25" customHeight="1" x14ac:dyDescent="0.25">
      <c r="A51" s="10" t="s">
        <v>38</v>
      </c>
      <c r="B51" s="10"/>
      <c r="C51" s="10" t="str">
        <f t="shared" si="0"/>
        <v>2441220.5</v>
      </c>
      <c r="D51" s="10">
        <v>244</v>
      </c>
      <c r="E51" s="10">
        <v>122</v>
      </c>
      <c r="F51" s="10">
        <v>0.5</v>
      </c>
      <c r="G51" s="10">
        <v>3</v>
      </c>
      <c r="H51" s="15" t="s">
        <v>39</v>
      </c>
      <c r="I51" s="16">
        <v>500</v>
      </c>
      <c r="J51" s="14">
        <f t="shared" si="13"/>
        <v>0.74419999999999997</v>
      </c>
      <c r="K51" s="12">
        <v>2</v>
      </c>
      <c r="L51" s="15">
        <v>9</v>
      </c>
      <c r="M51" s="15">
        <f t="shared" si="1"/>
        <v>540</v>
      </c>
      <c r="N51" s="8">
        <f t="shared" si="7"/>
        <v>55.555555555555557</v>
      </c>
      <c r="O51" s="8">
        <f t="shared" si="3"/>
        <v>0.92592592592592593</v>
      </c>
      <c r="P51" s="9">
        <f t="shared" si="4"/>
        <v>250</v>
      </c>
      <c r="Q51" s="10">
        <v>115000</v>
      </c>
      <c r="R51" s="8">
        <f t="shared" si="8"/>
        <v>460</v>
      </c>
    </row>
    <row r="52" spans="1:18" ht="14.25" customHeight="1" x14ac:dyDescent="0.25">
      <c r="A52" s="10" t="s">
        <v>38</v>
      </c>
      <c r="B52" s="10"/>
      <c r="C52" s="10" t="str">
        <f t="shared" si="0"/>
        <v>2441220.5</v>
      </c>
      <c r="D52" s="10">
        <v>244</v>
      </c>
      <c r="E52" s="10">
        <v>122</v>
      </c>
      <c r="F52" s="10">
        <v>0.5</v>
      </c>
      <c r="G52" s="10">
        <v>4</v>
      </c>
      <c r="H52" s="15" t="s">
        <v>39</v>
      </c>
      <c r="I52" s="16">
        <v>260</v>
      </c>
      <c r="J52" s="14">
        <f t="shared" si="13"/>
        <v>0.38698399999999999</v>
      </c>
      <c r="K52" s="12">
        <v>2</v>
      </c>
      <c r="L52" s="15">
        <v>9</v>
      </c>
      <c r="M52" s="15">
        <f t="shared" si="1"/>
        <v>540</v>
      </c>
      <c r="N52" s="8">
        <f t="shared" si="7"/>
        <v>28.888888888888889</v>
      </c>
      <c r="O52" s="8">
        <f t="shared" si="3"/>
        <v>0.48148148148148145</v>
      </c>
      <c r="P52" s="9">
        <f t="shared" si="4"/>
        <v>130</v>
      </c>
      <c r="Q52" s="10">
        <v>115000</v>
      </c>
      <c r="R52" s="8">
        <f t="shared" si="8"/>
        <v>884.61538461538464</v>
      </c>
    </row>
    <row r="53" spans="1:18" ht="14.25" customHeight="1" x14ac:dyDescent="0.25">
      <c r="A53" s="10" t="s">
        <v>38</v>
      </c>
      <c r="B53" s="10"/>
      <c r="C53" s="10" t="str">
        <f t="shared" si="0"/>
        <v>2441220.5</v>
      </c>
      <c r="D53" s="10">
        <v>244</v>
      </c>
      <c r="E53" s="10">
        <v>122</v>
      </c>
      <c r="F53" s="10">
        <v>0.5</v>
      </c>
      <c r="G53" s="10">
        <v>3</v>
      </c>
      <c r="H53" s="15" t="s">
        <v>40</v>
      </c>
      <c r="I53" s="16">
        <v>480</v>
      </c>
      <c r="J53" s="14">
        <f t="shared" si="13"/>
        <v>0.71443199999999996</v>
      </c>
      <c r="K53" s="12">
        <v>2</v>
      </c>
      <c r="L53" s="15">
        <v>9</v>
      </c>
      <c r="M53" s="15">
        <f t="shared" si="1"/>
        <v>540</v>
      </c>
      <c r="N53" s="8">
        <f t="shared" si="7"/>
        <v>53.333333333333336</v>
      </c>
      <c r="O53" s="8">
        <f t="shared" si="3"/>
        <v>0.88888888888888884</v>
      </c>
      <c r="P53" s="9">
        <f t="shared" si="4"/>
        <v>240</v>
      </c>
      <c r="Q53" s="10">
        <v>115000</v>
      </c>
      <c r="R53" s="8">
        <f t="shared" si="8"/>
        <v>479.16666666666669</v>
      </c>
    </row>
    <row r="54" spans="1:18" ht="14.25" customHeight="1" x14ac:dyDescent="0.25">
      <c r="A54" s="10" t="s">
        <v>38</v>
      </c>
      <c r="B54" s="10"/>
      <c r="C54" s="10" t="str">
        <f t="shared" si="0"/>
        <v>2441220.5</v>
      </c>
      <c r="D54" s="10">
        <v>244</v>
      </c>
      <c r="E54" s="10">
        <v>122</v>
      </c>
      <c r="F54" s="10">
        <v>0.5</v>
      </c>
      <c r="G54" s="10">
        <v>4</v>
      </c>
      <c r="H54" s="15" t="s">
        <v>40</v>
      </c>
      <c r="I54" s="16">
        <v>240</v>
      </c>
      <c r="J54" s="14">
        <f t="shared" si="13"/>
        <v>0.35721599999999998</v>
      </c>
      <c r="K54" s="12">
        <v>2</v>
      </c>
      <c r="L54" s="15">
        <v>9</v>
      </c>
      <c r="M54" s="15">
        <f t="shared" si="1"/>
        <v>540</v>
      </c>
      <c r="N54" s="8">
        <f t="shared" si="7"/>
        <v>26.666666666666668</v>
      </c>
      <c r="O54" s="8">
        <f t="shared" si="3"/>
        <v>0.44444444444444442</v>
      </c>
      <c r="P54" s="9">
        <f t="shared" si="4"/>
        <v>120</v>
      </c>
      <c r="Q54" s="10">
        <v>115000</v>
      </c>
      <c r="R54" s="8">
        <f t="shared" si="8"/>
        <v>958.33333333333337</v>
      </c>
    </row>
    <row r="55" spans="1:18" ht="14.25" customHeight="1" x14ac:dyDescent="0.25">
      <c r="A55" s="10" t="s">
        <v>38</v>
      </c>
      <c r="B55" s="10"/>
      <c r="C55" s="10" t="str">
        <f t="shared" si="0"/>
        <v>2441220.5</v>
      </c>
      <c r="D55" s="10">
        <v>244</v>
      </c>
      <c r="E55" s="10">
        <v>122</v>
      </c>
      <c r="F55" s="10">
        <v>0.5</v>
      </c>
      <c r="G55" s="10">
        <v>5</v>
      </c>
      <c r="H55" s="15" t="s">
        <v>39</v>
      </c>
      <c r="I55" s="16">
        <v>90</v>
      </c>
      <c r="J55" s="14">
        <f t="shared" si="13"/>
        <v>0.13395599999999999</v>
      </c>
      <c r="K55" s="12">
        <v>2</v>
      </c>
      <c r="L55" s="15">
        <v>9</v>
      </c>
      <c r="M55" s="15">
        <f t="shared" si="1"/>
        <v>540</v>
      </c>
      <c r="N55" s="8">
        <f t="shared" si="7"/>
        <v>10</v>
      </c>
      <c r="O55" s="8">
        <f t="shared" si="3"/>
        <v>0.16666666666666666</v>
      </c>
      <c r="P55" s="9">
        <f t="shared" si="4"/>
        <v>45</v>
      </c>
      <c r="Q55" s="10">
        <v>115000</v>
      </c>
      <c r="R55" s="8">
        <f t="shared" si="8"/>
        <v>2555.5555555555557</v>
      </c>
    </row>
    <row r="56" spans="1:18" ht="14.25" customHeight="1" x14ac:dyDescent="0.25">
      <c r="A56" s="10" t="s">
        <v>38</v>
      </c>
      <c r="B56" s="10"/>
      <c r="C56" s="10" t="str">
        <f>B56&amp;D56&amp;E56&amp;F56</f>
        <v>2441220.5</v>
      </c>
      <c r="D56" s="10">
        <v>244</v>
      </c>
      <c r="E56" s="10">
        <v>122</v>
      </c>
      <c r="F56" s="10">
        <v>0.5</v>
      </c>
      <c r="G56" s="38" t="s">
        <v>36</v>
      </c>
      <c r="H56" s="15" t="s">
        <v>39</v>
      </c>
      <c r="I56" s="16">
        <v>130</v>
      </c>
      <c r="J56" s="14">
        <f>D56*E56*F56*I56/10000000</f>
        <v>0.193492</v>
      </c>
      <c r="K56" s="12">
        <v>1</v>
      </c>
      <c r="L56" s="15">
        <v>9</v>
      </c>
      <c r="M56" s="15">
        <f>L56*60</f>
        <v>540</v>
      </c>
      <c r="N56" s="8">
        <f>I56/L56</f>
        <v>14.444444444444445</v>
      </c>
      <c r="O56" s="8">
        <f>I56/M56</f>
        <v>0.24074074074074073</v>
      </c>
      <c r="P56" s="9">
        <f>I56/K56</f>
        <v>130</v>
      </c>
      <c r="Q56" s="10">
        <v>115000</v>
      </c>
      <c r="R56" s="8">
        <f>Q56/P56</f>
        <v>884.61538461538464</v>
      </c>
    </row>
    <row r="57" spans="1:18" ht="14.25" customHeight="1" x14ac:dyDescent="0.25">
      <c r="A57" s="10" t="s">
        <v>38</v>
      </c>
      <c r="B57" s="10"/>
      <c r="C57" s="10" t="str">
        <f>B57&amp;D57&amp;E57&amp;F57</f>
        <v>1222441.8</v>
      </c>
      <c r="D57" s="32">
        <v>122</v>
      </c>
      <c r="E57" s="32">
        <v>244</v>
      </c>
      <c r="F57" s="32">
        <v>1.8</v>
      </c>
      <c r="G57" s="39">
        <v>3</v>
      </c>
      <c r="H57" s="25" t="s">
        <v>39</v>
      </c>
      <c r="I57" s="13">
        <v>240</v>
      </c>
      <c r="J57" s="14">
        <f>D57*E57*F57*I57/10000000</f>
        <v>1.2859776000000001</v>
      </c>
      <c r="K57" s="12">
        <v>2</v>
      </c>
      <c r="L57" s="15">
        <v>9</v>
      </c>
      <c r="M57" s="15">
        <f>L57*60</f>
        <v>540</v>
      </c>
      <c r="N57" s="8">
        <f>I57/L57</f>
        <v>26.666666666666668</v>
      </c>
      <c r="O57" s="8">
        <f>I57/M57</f>
        <v>0.44444444444444442</v>
      </c>
      <c r="P57" s="9">
        <f>I57/K57</f>
        <v>120</v>
      </c>
      <c r="Q57" s="10">
        <v>115000</v>
      </c>
      <c r="R57" s="8">
        <f>Q57/P57</f>
        <v>958.33333333333337</v>
      </c>
    </row>
    <row r="58" spans="1:18" ht="14.25" customHeight="1" x14ac:dyDescent="0.25">
      <c r="A58" s="10" t="s">
        <v>38</v>
      </c>
      <c r="B58" s="10"/>
      <c r="C58" s="10" t="str">
        <f t="shared" ref="C58:C121" si="14">B58&amp;D58&amp;E58&amp;F58</f>
        <v>1222442.2</v>
      </c>
      <c r="D58" s="10">
        <v>122</v>
      </c>
      <c r="E58" s="10">
        <v>244</v>
      </c>
      <c r="F58" s="10">
        <v>2.2000000000000002</v>
      </c>
      <c r="G58" s="10">
        <v>3</v>
      </c>
      <c r="H58" s="15" t="s">
        <v>39</v>
      </c>
      <c r="I58" s="13">
        <v>230</v>
      </c>
      <c r="J58" s="14">
        <f t="shared" si="13"/>
        <v>1.5062608000000002</v>
      </c>
      <c r="K58" s="12">
        <v>2</v>
      </c>
      <c r="L58" s="15">
        <v>9</v>
      </c>
      <c r="M58" s="15">
        <f t="shared" ref="M58:M121" si="15">L58*60</f>
        <v>540</v>
      </c>
      <c r="N58" s="8">
        <f t="shared" si="7"/>
        <v>25.555555555555557</v>
      </c>
      <c r="O58" s="8">
        <f t="shared" ref="O58:O114" si="16">I58/M58</f>
        <v>0.42592592592592593</v>
      </c>
      <c r="P58" s="9">
        <f t="shared" ref="P58:P75" si="17">I58/K58</f>
        <v>115</v>
      </c>
      <c r="Q58" s="10">
        <v>115000</v>
      </c>
      <c r="R58" s="8">
        <f t="shared" si="8"/>
        <v>1000</v>
      </c>
    </row>
    <row r="59" spans="1:18" ht="14.25" customHeight="1" x14ac:dyDescent="0.25">
      <c r="A59" s="10" t="s">
        <v>38</v>
      </c>
      <c r="B59" s="10"/>
      <c r="C59" s="10" t="str">
        <f t="shared" si="14"/>
        <v>1222442.7</v>
      </c>
      <c r="D59" s="10">
        <v>122</v>
      </c>
      <c r="E59" s="10">
        <v>244</v>
      </c>
      <c r="F59" s="10">
        <v>2.7</v>
      </c>
      <c r="G59" s="10">
        <v>3</v>
      </c>
      <c r="H59" s="15" t="s">
        <v>39</v>
      </c>
      <c r="I59" s="16">
        <v>210</v>
      </c>
      <c r="J59" s="14">
        <f t="shared" si="13"/>
        <v>1.6878455999999999</v>
      </c>
      <c r="K59" s="12">
        <v>2</v>
      </c>
      <c r="L59" s="15">
        <v>9</v>
      </c>
      <c r="M59" s="15">
        <f t="shared" si="15"/>
        <v>540</v>
      </c>
      <c r="N59" s="8">
        <f t="shared" si="7"/>
        <v>23.333333333333332</v>
      </c>
      <c r="O59" s="8">
        <f t="shared" si="16"/>
        <v>0.3888888888888889</v>
      </c>
      <c r="P59" s="9">
        <f t="shared" si="17"/>
        <v>105</v>
      </c>
      <c r="Q59" s="10">
        <v>115000</v>
      </c>
      <c r="R59" s="8">
        <f t="shared" si="8"/>
        <v>1095.2380952380952</v>
      </c>
    </row>
    <row r="60" spans="1:18" ht="14.25" customHeight="1" x14ac:dyDescent="0.25">
      <c r="A60" s="10" t="s">
        <v>38</v>
      </c>
      <c r="B60" s="10"/>
      <c r="C60" s="10" t="str">
        <f t="shared" si="14"/>
        <v>1222443.7</v>
      </c>
      <c r="D60" s="10">
        <v>122</v>
      </c>
      <c r="E60" s="10">
        <v>244</v>
      </c>
      <c r="F60" s="10">
        <v>3.7</v>
      </c>
      <c r="G60" s="10">
        <v>3</v>
      </c>
      <c r="H60" s="15" t="s">
        <v>39</v>
      </c>
      <c r="I60" s="16">
        <v>220</v>
      </c>
      <c r="J60" s="14">
        <f t="shared" si="13"/>
        <v>2.4231151999999998</v>
      </c>
      <c r="K60" s="12">
        <v>2</v>
      </c>
      <c r="L60" s="15">
        <v>9</v>
      </c>
      <c r="M60" s="15">
        <f t="shared" si="15"/>
        <v>540</v>
      </c>
      <c r="N60" s="8">
        <f t="shared" si="7"/>
        <v>24.444444444444443</v>
      </c>
      <c r="O60" s="8">
        <f t="shared" si="16"/>
        <v>0.40740740740740738</v>
      </c>
      <c r="P60" s="9">
        <f t="shared" si="17"/>
        <v>110</v>
      </c>
      <c r="Q60" s="10">
        <v>115000</v>
      </c>
      <c r="R60" s="8">
        <f t="shared" si="8"/>
        <v>1045.4545454545455</v>
      </c>
    </row>
    <row r="61" spans="1:18" ht="14.25" customHeight="1" x14ac:dyDescent="0.25">
      <c r="A61" s="10" t="s">
        <v>38</v>
      </c>
      <c r="B61" s="10"/>
      <c r="C61" s="10" t="str">
        <f t="shared" si="14"/>
        <v>1222443.8</v>
      </c>
      <c r="D61" s="10">
        <v>122</v>
      </c>
      <c r="E61" s="10">
        <v>244</v>
      </c>
      <c r="F61" s="10">
        <v>3.8</v>
      </c>
      <c r="G61" s="10">
        <v>3</v>
      </c>
      <c r="H61" s="15" t="s">
        <v>39</v>
      </c>
      <c r="I61" s="16">
        <v>220</v>
      </c>
      <c r="J61" s="14">
        <f t="shared" si="13"/>
        <v>2.4886048000000001</v>
      </c>
      <c r="K61" s="12">
        <v>2</v>
      </c>
      <c r="L61" s="15">
        <v>9</v>
      </c>
      <c r="M61" s="15">
        <f t="shared" si="15"/>
        <v>540</v>
      </c>
      <c r="N61" s="8">
        <f t="shared" si="7"/>
        <v>24.444444444444443</v>
      </c>
      <c r="O61" s="8">
        <f t="shared" si="16"/>
        <v>0.40740740740740738</v>
      </c>
      <c r="P61" s="9">
        <f t="shared" si="17"/>
        <v>110</v>
      </c>
      <c r="Q61" s="10">
        <v>115000</v>
      </c>
      <c r="R61" s="8">
        <f t="shared" si="8"/>
        <v>1045.4545454545455</v>
      </c>
    </row>
    <row r="62" spans="1:18" ht="14.25" customHeight="1" x14ac:dyDescent="0.25">
      <c r="A62" s="10" t="s">
        <v>38</v>
      </c>
      <c r="B62" s="10"/>
      <c r="C62" s="10" t="str">
        <f t="shared" si="14"/>
        <v>1222443.7</v>
      </c>
      <c r="D62" s="10">
        <v>122</v>
      </c>
      <c r="E62" s="10">
        <v>244</v>
      </c>
      <c r="F62" s="10">
        <v>3.7</v>
      </c>
      <c r="G62" s="10">
        <v>3</v>
      </c>
      <c r="H62" s="15" t="s">
        <v>40</v>
      </c>
      <c r="I62" s="13">
        <v>200</v>
      </c>
      <c r="J62" s="14">
        <f t="shared" si="13"/>
        <v>2.2028319999999999</v>
      </c>
      <c r="K62" s="12">
        <v>2</v>
      </c>
      <c r="L62" s="15">
        <v>9</v>
      </c>
      <c r="M62" s="15">
        <f t="shared" si="15"/>
        <v>540</v>
      </c>
      <c r="N62" s="8">
        <f t="shared" si="7"/>
        <v>22.222222222222221</v>
      </c>
      <c r="O62" s="8">
        <f t="shared" si="16"/>
        <v>0.37037037037037035</v>
      </c>
      <c r="P62" s="9">
        <f t="shared" si="17"/>
        <v>100</v>
      </c>
      <c r="Q62" s="10">
        <v>115001</v>
      </c>
      <c r="R62" s="8">
        <f t="shared" si="8"/>
        <v>1150.01</v>
      </c>
    </row>
    <row r="63" spans="1:18" ht="14.25" customHeight="1" x14ac:dyDescent="0.25">
      <c r="A63" s="10" t="s">
        <v>38</v>
      </c>
      <c r="B63" s="10"/>
      <c r="C63" s="10" t="str">
        <f t="shared" si="14"/>
        <v>1221304</v>
      </c>
      <c r="D63" s="10">
        <v>122</v>
      </c>
      <c r="E63" s="10">
        <v>130</v>
      </c>
      <c r="F63" s="10">
        <v>4</v>
      </c>
      <c r="G63" s="10">
        <v>3</v>
      </c>
      <c r="H63" s="15" t="s">
        <v>39</v>
      </c>
      <c r="I63" s="16">
        <v>300</v>
      </c>
      <c r="J63" s="14">
        <f t="shared" si="13"/>
        <v>1.9032</v>
      </c>
      <c r="K63" s="12">
        <v>2</v>
      </c>
      <c r="L63" s="15">
        <v>9</v>
      </c>
      <c r="M63" s="15">
        <f t="shared" si="15"/>
        <v>540</v>
      </c>
      <c r="N63" s="8">
        <f t="shared" si="7"/>
        <v>33.333333333333336</v>
      </c>
      <c r="O63" s="8">
        <f t="shared" si="16"/>
        <v>0.55555555555555558</v>
      </c>
      <c r="P63" s="9">
        <f t="shared" si="17"/>
        <v>150</v>
      </c>
      <c r="Q63" s="10">
        <v>115000</v>
      </c>
      <c r="R63" s="8">
        <f t="shared" si="8"/>
        <v>766.66666666666663</v>
      </c>
    </row>
    <row r="64" spans="1:18" ht="14.25" customHeight="1" x14ac:dyDescent="0.25">
      <c r="A64" s="10" t="s">
        <v>38</v>
      </c>
      <c r="B64" s="10"/>
      <c r="C64" s="10" t="str">
        <f t="shared" si="14"/>
        <v>1221303.7</v>
      </c>
      <c r="D64" s="10">
        <v>122</v>
      </c>
      <c r="E64" s="10">
        <v>130</v>
      </c>
      <c r="F64" s="10">
        <v>3.7</v>
      </c>
      <c r="G64" s="10">
        <v>3</v>
      </c>
      <c r="H64" s="15" t="s">
        <v>39</v>
      </c>
      <c r="I64" s="13">
        <v>350</v>
      </c>
      <c r="J64" s="14">
        <f t="shared" si="13"/>
        <v>2.0538699999999999</v>
      </c>
      <c r="K64" s="12">
        <v>2</v>
      </c>
      <c r="L64" s="15">
        <v>9</v>
      </c>
      <c r="M64" s="15">
        <f t="shared" si="15"/>
        <v>540</v>
      </c>
      <c r="N64" s="8">
        <f t="shared" si="7"/>
        <v>38.888888888888886</v>
      </c>
      <c r="O64" s="8">
        <f t="shared" si="16"/>
        <v>0.64814814814814814</v>
      </c>
      <c r="P64" s="9">
        <f t="shared" si="17"/>
        <v>175</v>
      </c>
      <c r="Q64" s="10">
        <v>115000</v>
      </c>
      <c r="R64" s="8">
        <f t="shared" si="8"/>
        <v>657.14285714285711</v>
      </c>
    </row>
    <row r="65" spans="1:18" ht="14.25" customHeight="1" x14ac:dyDescent="0.25">
      <c r="A65" s="10" t="s">
        <v>38</v>
      </c>
      <c r="B65" s="10"/>
      <c r="C65" s="10" t="str">
        <f t="shared" si="14"/>
        <v>1221303.7</v>
      </c>
      <c r="D65" s="10">
        <v>122</v>
      </c>
      <c r="E65" s="10">
        <v>130</v>
      </c>
      <c r="F65" s="10">
        <v>3.7</v>
      </c>
      <c r="G65" s="10">
        <v>3</v>
      </c>
      <c r="H65" s="15" t="s">
        <v>40</v>
      </c>
      <c r="I65" s="13">
        <v>330</v>
      </c>
      <c r="J65" s="14">
        <f t="shared" si="13"/>
        <v>1.9365060000000001</v>
      </c>
      <c r="K65" s="12">
        <v>2</v>
      </c>
      <c r="L65" s="15">
        <v>9</v>
      </c>
      <c r="M65" s="15">
        <f t="shared" si="15"/>
        <v>540</v>
      </c>
      <c r="N65" s="8">
        <v>33</v>
      </c>
      <c r="O65" s="8">
        <f t="shared" si="16"/>
        <v>0.61111111111111116</v>
      </c>
      <c r="P65" s="9">
        <f t="shared" si="17"/>
        <v>165</v>
      </c>
      <c r="Q65" s="10">
        <v>115000</v>
      </c>
      <c r="R65" s="8">
        <v>696.969696969697</v>
      </c>
    </row>
    <row r="66" spans="1:18" ht="14.25" customHeight="1" x14ac:dyDescent="0.25">
      <c r="A66" s="10" t="s">
        <v>38</v>
      </c>
      <c r="B66" s="10"/>
      <c r="C66" s="10" t="str">
        <f t="shared" si="14"/>
        <v>1221302.2</v>
      </c>
      <c r="D66" s="10">
        <v>122</v>
      </c>
      <c r="E66" s="10">
        <v>130</v>
      </c>
      <c r="F66" s="10">
        <v>2.2000000000000002</v>
      </c>
      <c r="G66" s="10">
        <v>3</v>
      </c>
      <c r="H66" s="15" t="s">
        <v>39</v>
      </c>
      <c r="I66" s="13">
        <v>400</v>
      </c>
      <c r="J66" s="14">
        <f t="shared" si="13"/>
        <v>1.39568</v>
      </c>
      <c r="K66" s="12">
        <v>2</v>
      </c>
      <c r="L66" s="15">
        <v>9</v>
      </c>
      <c r="M66" s="15">
        <f t="shared" si="15"/>
        <v>540</v>
      </c>
      <c r="N66" s="8">
        <f>I66/L66</f>
        <v>44.444444444444443</v>
      </c>
      <c r="O66" s="8">
        <f t="shared" si="16"/>
        <v>0.7407407407407407</v>
      </c>
      <c r="P66" s="9">
        <f t="shared" si="17"/>
        <v>200</v>
      </c>
      <c r="Q66" s="10">
        <v>115000</v>
      </c>
      <c r="R66" s="8">
        <f>Q66/P66</f>
        <v>575</v>
      </c>
    </row>
    <row r="67" spans="1:18" ht="14.25" customHeight="1" x14ac:dyDescent="0.25">
      <c r="A67" s="10" t="s">
        <v>38</v>
      </c>
      <c r="B67" s="10"/>
      <c r="C67" s="10" t="str">
        <f>B67&amp;D67&amp;E67&amp;F67</f>
        <v>1221302.2</v>
      </c>
      <c r="D67" s="10">
        <v>122</v>
      </c>
      <c r="E67" s="10">
        <v>130</v>
      </c>
      <c r="F67" s="10">
        <v>2.2000000000000002</v>
      </c>
      <c r="G67" s="10">
        <v>3</v>
      </c>
      <c r="H67" s="25" t="s">
        <v>40</v>
      </c>
      <c r="I67" s="13">
        <v>380</v>
      </c>
      <c r="J67" s="14">
        <f>D67*E67*F67*I67/10000000</f>
        <v>1.325896</v>
      </c>
      <c r="K67" s="12">
        <v>2</v>
      </c>
      <c r="L67" s="15">
        <v>9</v>
      </c>
      <c r="M67" s="15">
        <f>L67*60</f>
        <v>540</v>
      </c>
      <c r="N67" s="8">
        <f>I67/L67</f>
        <v>42.222222222222221</v>
      </c>
      <c r="O67" s="8">
        <f>I67/M67</f>
        <v>0.70370370370370372</v>
      </c>
      <c r="P67" s="9">
        <f>I67/K67</f>
        <v>190</v>
      </c>
      <c r="Q67" s="10">
        <v>115000</v>
      </c>
      <c r="R67" s="8">
        <f>Q67/P67</f>
        <v>605.26315789473688</v>
      </c>
    </row>
    <row r="68" spans="1:18" ht="14.25" customHeight="1" x14ac:dyDescent="0.25">
      <c r="A68" s="10" t="s">
        <v>38</v>
      </c>
      <c r="B68" s="10"/>
      <c r="C68" s="10" t="str">
        <f t="shared" si="14"/>
        <v>1221301.2</v>
      </c>
      <c r="D68" s="10">
        <v>122</v>
      </c>
      <c r="E68" s="10">
        <v>130</v>
      </c>
      <c r="F68" s="10">
        <v>1.2</v>
      </c>
      <c r="G68" s="10">
        <v>3</v>
      </c>
      <c r="H68" s="25" t="s">
        <v>39</v>
      </c>
      <c r="I68" s="13">
        <v>420</v>
      </c>
      <c r="J68" s="14">
        <f t="shared" si="13"/>
        <v>0.79934400000000005</v>
      </c>
      <c r="K68" s="12">
        <v>2</v>
      </c>
      <c r="L68" s="15">
        <v>9</v>
      </c>
      <c r="M68" s="15">
        <f t="shared" si="15"/>
        <v>540</v>
      </c>
      <c r="N68" s="8">
        <v>40</v>
      </c>
      <c r="O68" s="8">
        <f t="shared" si="16"/>
        <v>0.77777777777777779</v>
      </c>
      <c r="P68" s="9">
        <f t="shared" si="17"/>
        <v>210</v>
      </c>
      <c r="Q68" s="10">
        <v>115000</v>
      </c>
      <c r="R68" s="8">
        <v>575</v>
      </c>
    </row>
    <row r="69" spans="1:18" ht="14.25" customHeight="1" x14ac:dyDescent="0.25">
      <c r="A69" s="10" t="s">
        <v>38</v>
      </c>
      <c r="B69" s="10"/>
      <c r="C69" s="10" t="str">
        <f t="shared" si="14"/>
        <v>1221301.2</v>
      </c>
      <c r="D69" s="10">
        <v>122</v>
      </c>
      <c r="E69" s="10">
        <v>130</v>
      </c>
      <c r="F69" s="10">
        <v>1.2</v>
      </c>
      <c r="G69" s="10">
        <v>3</v>
      </c>
      <c r="H69" s="25" t="s">
        <v>40</v>
      </c>
      <c r="I69" s="13">
        <v>400</v>
      </c>
      <c r="J69" s="14">
        <f t="shared" si="13"/>
        <v>0.76127999999999996</v>
      </c>
      <c r="K69" s="12">
        <v>2</v>
      </c>
      <c r="L69" s="15">
        <v>9</v>
      </c>
      <c r="M69" s="15">
        <f t="shared" si="15"/>
        <v>540</v>
      </c>
      <c r="N69" s="8">
        <v>40</v>
      </c>
      <c r="O69" s="8">
        <f t="shared" si="16"/>
        <v>0.7407407407407407</v>
      </c>
      <c r="P69" s="9">
        <f t="shared" si="17"/>
        <v>200</v>
      </c>
      <c r="Q69" s="10">
        <v>115000</v>
      </c>
      <c r="R69" s="8">
        <v>575</v>
      </c>
    </row>
    <row r="70" spans="1:18" ht="14.25" customHeight="1" x14ac:dyDescent="0.25">
      <c r="A70" s="40" t="s">
        <v>38</v>
      </c>
      <c r="B70" s="40"/>
      <c r="C70" s="10" t="str">
        <f t="shared" si="14"/>
        <v>1221301.8</v>
      </c>
      <c r="D70" s="41">
        <v>122</v>
      </c>
      <c r="E70" s="41">
        <v>130</v>
      </c>
      <c r="F70" s="41">
        <v>1.8</v>
      </c>
      <c r="G70" s="41">
        <v>3</v>
      </c>
      <c r="H70" s="25" t="s">
        <v>39</v>
      </c>
      <c r="I70" s="42">
        <v>420</v>
      </c>
      <c r="J70" s="14">
        <f t="shared" si="13"/>
        <v>1.1990160000000001</v>
      </c>
      <c r="K70" s="43">
        <v>2</v>
      </c>
      <c r="L70" s="15">
        <v>9</v>
      </c>
      <c r="M70" s="15">
        <f t="shared" si="15"/>
        <v>540</v>
      </c>
      <c r="N70" s="44">
        <f t="shared" ref="N70:N75" si="18">I70/L70</f>
        <v>46.666666666666664</v>
      </c>
      <c r="O70" s="8">
        <f t="shared" si="16"/>
        <v>0.77777777777777779</v>
      </c>
      <c r="P70" s="9">
        <f t="shared" si="17"/>
        <v>210</v>
      </c>
      <c r="Q70" s="41">
        <v>115000</v>
      </c>
      <c r="R70" s="44">
        <f t="shared" ref="R70:R75" si="19">Q70/P70</f>
        <v>547.61904761904759</v>
      </c>
    </row>
    <row r="71" spans="1:18" ht="14.25" customHeight="1" x14ac:dyDescent="0.25">
      <c r="A71" s="10" t="s">
        <v>38</v>
      </c>
      <c r="B71" s="10"/>
      <c r="C71" s="10" t="str">
        <f t="shared" si="14"/>
        <v>1221301.8</v>
      </c>
      <c r="D71" s="10">
        <v>122</v>
      </c>
      <c r="E71" s="10">
        <v>130</v>
      </c>
      <c r="F71" s="10">
        <v>1.8</v>
      </c>
      <c r="G71" s="10">
        <v>3</v>
      </c>
      <c r="H71" s="25" t="s">
        <v>41</v>
      </c>
      <c r="I71" s="13">
        <v>400</v>
      </c>
      <c r="J71" s="14">
        <f t="shared" si="13"/>
        <v>1.14192</v>
      </c>
      <c r="K71" s="12">
        <v>2</v>
      </c>
      <c r="L71" s="15">
        <v>9</v>
      </c>
      <c r="M71" s="15">
        <f t="shared" si="15"/>
        <v>540</v>
      </c>
      <c r="N71" s="8">
        <f t="shared" si="18"/>
        <v>44.444444444444443</v>
      </c>
      <c r="O71" s="8">
        <f t="shared" si="16"/>
        <v>0.7407407407407407</v>
      </c>
      <c r="P71" s="9">
        <f t="shared" si="17"/>
        <v>200</v>
      </c>
      <c r="Q71" s="10">
        <v>115000</v>
      </c>
      <c r="R71" s="8">
        <f t="shared" si="19"/>
        <v>575</v>
      </c>
    </row>
    <row r="72" spans="1:18" ht="14.25" customHeight="1" x14ac:dyDescent="0.25">
      <c r="A72" s="10" t="s">
        <v>38</v>
      </c>
      <c r="B72" s="10"/>
      <c r="C72" s="10" t="str">
        <f t="shared" si="14"/>
        <v>130661.8</v>
      </c>
      <c r="D72" s="10">
        <v>130</v>
      </c>
      <c r="E72" s="10">
        <v>66</v>
      </c>
      <c r="F72" s="10">
        <v>1.8</v>
      </c>
      <c r="G72" s="10" t="s">
        <v>36</v>
      </c>
      <c r="H72" s="15" t="s">
        <v>39</v>
      </c>
      <c r="I72" s="13">
        <v>250</v>
      </c>
      <c r="J72" s="14">
        <f t="shared" si="13"/>
        <v>0.3861</v>
      </c>
      <c r="K72" s="12">
        <v>2</v>
      </c>
      <c r="L72" s="15">
        <v>9</v>
      </c>
      <c r="M72" s="15">
        <f t="shared" si="15"/>
        <v>540</v>
      </c>
      <c r="N72" s="8">
        <f t="shared" si="18"/>
        <v>27.777777777777779</v>
      </c>
      <c r="O72" s="8">
        <f t="shared" si="16"/>
        <v>0.46296296296296297</v>
      </c>
      <c r="P72" s="9">
        <f t="shared" si="17"/>
        <v>125</v>
      </c>
      <c r="Q72" s="10">
        <v>115000</v>
      </c>
      <c r="R72" s="8">
        <f t="shared" si="19"/>
        <v>920</v>
      </c>
    </row>
    <row r="73" spans="1:18" ht="14.25" customHeight="1" x14ac:dyDescent="0.25">
      <c r="A73" s="32" t="s">
        <v>38</v>
      </c>
      <c r="B73" s="32"/>
      <c r="C73" s="10" t="str">
        <f t="shared" si="14"/>
        <v>67683.7</v>
      </c>
      <c r="D73" s="32">
        <v>67</v>
      </c>
      <c r="E73" s="32">
        <v>68</v>
      </c>
      <c r="F73" s="32">
        <v>3.7</v>
      </c>
      <c r="G73" s="39" t="s">
        <v>36</v>
      </c>
      <c r="H73" s="25" t="s">
        <v>39</v>
      </c>
      <c r="I73" s="13">
        <v>400</v>
      </c>
      <c r="J73" s="14">
        <f t="shared" si="13"/>
        <v>0.674288</v>
      </c>
      <c r="K73" s="45">
        <v>1</v>
      </c>
      <c r="L73" s="15">
        <v>9</v>
      </c>
      <c r="M73" s="15">
        <f t="shared" si="15"/>
        <v>540</v>
      </c>
      <c r="N73" s="30">
        <f t="shared" si="18"/>
        <v>44.444444444444443</v>
      </c>
      <c r="O73" s="8">
        <f t="shared" si="16"/>
        <v>0.7407407407407407</v>
      </c>
      <c r="P73" s="9">
        <f t="shared" si="17"/>
        <v>400</v>
      </c>
      <c r="Q73" s="32">
        <v>115000</v>
      </c>
      <c r="R73" s="30">
        <f t="shared" si="19"/>
        <v>287.5</v>
      </c>
    </row>
    <row r="74" spans="1:18" ht="14.25" customHeight="1" x14ac:dyDescent="0.25">
      <c r="A74" s="32" t="s">
        <v>38</v>
      </c>
      <c r="B74" s="32"/>
      <c r="C74" s="10" t="str">
        <f t="shared" si="14"/>
        <v>130683.7</v>
      </c>
      <c r="D74" s="32">
        <v>130</v>
      </c>
      <c r="E74" s="32">
        <v>68</v>
      </c>
      <c r="F74" s="32">
        <v>3.7</v>
      </c>
      <c r="G74" s="39" t="s">
        <v>36</v>
      </c>
      <c r="H74" s="25" t="s">
        <v>39</v>
      </c>
      <c r="I74" s="13">
        <v>250</v>
      </c>
      <c r="J74" s="14">
        <f t="shared" si="13"/>
        <v>0.81769999999999998</v>
      </c>
      <c r="K74" s="45">
        <v>1</v>
      </c>
      <c r="L74" s="15">
        <v>9</v>
      </c>
      <c r="M74" s="15">
        <f t="shared" si="15"/>
        <v>540</v>
      </c>
      <c r="N74" s="30">
        <f t="shared" si="18"/>
        <v>27.777777777777779</v>
      </c>
      <c r="O74" s="8">
        <f t="shared" si="16"/>
        <v>0.46296296296296297</v>
      </c>
      <c r="P74" s="9">
        <f t="shared" si="17"/>
        <v>250</v>
      </c>
      <c r="Q74" s="32">
        <v>115000</v>
      </c>
      <c r="R74" s="30">
        <f t="shared" si="19"/>
        <v>460</v>
      </c>
    </row>
    <row r="75" spans="1:18" ht="14.25" customHeight="1" x14ac:dyDescent="0.25">
      <c r="A75" s="10" t="s">
        <v>38</v>
      </c>
      <c r="B75" s="10"/>
      <c r="C75" s="10" t="str">
        <f t="shared" si="14"/>
        <v>48683.7</v>
      </c>
      <c r="D75" s="10">
        <v>48</v>
      </c>
      <c r="E75" s="10">
        <v>68</v>
      </c>
      <c r="F75" s="10">
        <v>3.7</v>
      </c>
      <c r="G75" s="38" t="s">
        <v>36</v>
      </c>
      <c r="H75" s="15" t="s">
        <v>39</v>
      </c>
      <c r="I75" s="16">
        <v>450</v>
      </c>
      <c r="J75" s="14">
        <f t="shared" si="13"/>
        <v>0.54345600000000005</v>
      </c>
      <c r="K75" s="12">
        <v>1</v>
      </c>
      <c r="L75" s="15">
        <v>9</v>
      </c>
      <c r="M75" s="15">
        <f t="shared" si="15"/>
        <v>540</v>
      </c>
      <c r="N75" s="8">
        <f t="shared" si="18"/>
        <v>50</v>
      </c>
      <c r="O75" s="8">
        <f t="shared" si="16"/>
        <v>0.83333333333333337</v>
      </c>
      <c r="P75" s="9">
        <f t="shared" si="17"/>
        <v>450</v>
      </c>
      <c r="Q75" s="10">
        <v>115000</v>
      </c>
      <c r="R75" s="8">
        <f t="shared" si="19"/>
        <v>255.55555555555554</v>
      </c>
    </row>
    <row r="76" spans="1:18" ht="14.25" customHeight="1" x14ac:dyDescent="0.25">
      <c r="A76" s="10" t="s">
        <v>38</v>
      </c>
      <c r="B76" s="10"/>
      <c r="C76" s="10" t="str">
        <f t="shared" si="14"/>
        <v>122653.7</v>
      </c>
      <c r="D76" s="10">
        <v>122</v>
      </c>
      <c r="E76" s="10">
        <v>65</v>
      </c>
      <c r="F76" s="10">
        <v>3.7</v>
      </c>
      <c r="G76" s="38">
        <v>3</v>
      </c>
      <c r="H76" s="15" t="s">
        <v>39</v>
      </c>
      <c r="I76" s="16">
        <v>450</v>
      </c>
      <c r="J76" s="14">
        <f t="shared" si="13"/>
        <v>1.3203450000000001</v>
      </c>
      <c r="K76" s="12">
        <v>2</v>
      </c>
      <c r="L76" s="15">
        <v>9</v>
      </c>
      <c r="M76" s="15">
        <f t="shared" si="15"/>
        <v>540</v>
      </c>
      <c r="N76" s="8"/>
      <c r="O76" s="8">
        <f t="shared" si="16"/>
        <v>0.83333333333333337</v>
      </c>
      <c r="P76" s="9"/>
      <c r="Q76" s="10"/>
      <c r="R76" s="8"/>
    </row>
    <row r="77" spans="1:18" ht="14.25" customHeight="1" x14ac:dyDescent="0.25">
      <c r="A77" s="10" t="s">
        <v>42</v>
      </c>
      <c r="B77" s="10"/>
      <c r="C77" s="10" t="str">
        <f t="shared" si="14"/>
        <v>2441223.7</v>
      </c>
      <c r="D77" s="10">
        <v>244</v>
      </c>
      <c r="E77" s="10">
        <v>122</v>
      </c>
      <c r="F77" s="10">
        <v>3.7</v>
      </c>
      <c r="G77" s="38">
        <v>3</v>
      </c>
      <c r="H77" s="46" t="s">
        <v>39</v>
      </c>
      <c r="I77" s="16">
        <v>850</v>
      </c>
      <c r="J77" s="14">
        <f t="shared" si="13"/>
        <v>9.3620359999999998</v>
      </c>
      <c r="K77" s="12">
        <v>6</v>
      </c>
      <c r="L77" s="15">
        <v>9</v>
      </c>
      <c r="M77" s="15">
        <f t="shared" si="15"/>
        <v>540</v>
      </c>
      <c r="N77" s="8">
        <f t="shared" ref="N77:N100" si="20">I77/L77</f>
        <v>94.444444444444443</v>
      </c>
      <c r="O77" s="8">
        <f t="shared" si="16"/>
        <v>1.5740740740740742</v>
      </c>
      <c r="P77" s="9">
        <f t="shared" ref="P77:P100" si="21">I77/K77</f>
        <v>141.66666666666666</v>
      </c>
      <c r="Q77" s="10">
        <v>115000</v>
      </c>
      <c r="R77" s="8">
        <f t="shared" ref="R77:R100" si="22">Q77/P77</f>
        <v>811.76470588235304</v>
      </c>
    </row>
    <row r="78" spans="1:18" ht="14.25" customHeight="1" x14ac:dyDescent="0.25">
      <c r="A78" s="10" t="s">
        <v>42</v>
      </c>
      <c r="B78" s="10"/>
      <c r="C78" s="10" t="str">
        <f t="shared" si="14"/>
        <v>2441221.8</v>
      </c>
      <c r="D78" s="10">
        <v>244</v>
      </c>
      <c r="E78" s="10">
        <v>122</v>
      </c>
      <c r="F78" s="10">
        <v>1.8</v>
      </c>
      <c r="G78" s="38">
        <v>3</v>
      </c>
      <c r="H78" s="46" t="s">
        <v>43</v>
      </c>
      <c r="I78" s="16">
        <v>1200</v>
      </c>
      <c r="J78" s="14">
        <f t="shared" si="13"/>
        <v>6.429888</v>
      </c>
      <c r="K78" s="12">
        <v>6</v>
      </c>
      <c r="L78" s="15">
        <v>9</v>
      </c>
      <c r="M78" s="15">
        <f t="shared" si="15"/>
        <v>540</v>
      </c>
      <c r="N78" s="8">
        <f t="shared" si="20"/>
        <v>133.33333333333334</v>
      </c>
      <c r="O78" s="8">
        <f t="shared" si="16"/>
        <v>2.2222222222222223</v>
      </c>
      <c r="P78" s="9">
        <f t="shared" si="21"/>
        <v>200</v>
      </c>
      <c r="Q78" s="10">
        <v>115000</v>
      </c>
      <c r="R78" s="8">
        <f t="shared" si="22"/>
        <v>575</v>
      </c>
    </row>
    <row r="79" spans="1:18" ht="14.25" customHeight="1" x14ac:dyDescent="0.25">
      <c r="A79" s="10" t="s">
        <v>42</v>
      </c>
      <c r="B79" s="10"/>
      <c r="C79" s="10" t="str">
        <f t="shared" si="14"/>
        <v>2441222.2</v>
      </c>
      <c r="D79" s="10">
        <v>244</v>
      </c>
      <c r="E79" s="10">
        <v>122</v>
      </c>
      <c r="F79" s="10">
        <v>2.2000000000000002</v>
      </c>
      <c r="G79" s="38">
        <v>3</v>
      </c>
      <c r="H79" s="47"/>
      <c r="I79" s="16">
        <v>1000</v>
      </c>
      <c r="J79" s="14">
        <f t="shared" si="13"/>
        <v>6.548960000000001</v>
      </c>
      <c r="K79" s="12">
        <v>6</v>
      </c>
      <c r="L79" s="15">
        <v>9</v>
      </c>
      <c r="M79" s="15">
        <f t="shared" si="15"/>
        <v>540</v>
      </c>
      <c r="N79" s="8">
        <f t="shared" si="20"/>
        <v>111.11111111111111</v>
      </c>
      <c r="O79" s="8">
        <f t="shared" si="16"/>
        <v>1.8518518518518519</v>
      </c>
      <c r="P79" s="9">
        <f t="shared" si="21"/>
        <v>166.66666666666666</v>
      </c>
      <c r="Q79" s="10">
        <v>115000</v>
      </c>
      <c r="R79" s="8">
        <f t="shared" si="22"/>
        <v>690</v>
      </c>
    </row>
    <row r="80" spans="1:18" ht="14.25" customHeight="1" x14ac:dyDescent="0.25">
      <c r="A80" s="10" t="s">
        <v>42</v>
      </c>
      <c r="B80" s="10"/>
      <c r="C80" s="10" t="str">
        <f t="shared" si="14"/>
        <v>244661.8</v>
      </c>
      <c r="D80" s="10">
        <v>244</v>
      </c>
      <c r="E80" s="10">
        <v>66</v>
      </c>
      <c r="F80" s="10">
        <v>1.8</v>
      </c>
      <c r="G80" s="38" t="s">
        <v>36</v>
      </c>
      <c r="H80" s="47" t="s">
        <v>43</v>
      </c>
      <c r="I80" s="16">
        <v>1500</v>
      </c>
      <c r="J80" s="14">
        <f t="shared" si="13"/>
        <v>4.3480800000000004</v>
      </c>
      <c r="K80" s="12">
        <v>6</v>
      </c>
      <c r="L80" s="15">
        <v>9</v>
      </c>
      <c r="M80" s="15">
        <f t="shared" si="15"/>
        <v>540</v>
      </c>
      <c r="N80" s="8">
        <f t="shared" si="20"/>
        <v>166.66666666666666</v>
      </c>
      <c r="O80" s="8">
        <f t="shared" si="16"/>
        <v>2.7777777777777777</v>
      </c>
      <c r="P80" s="9">
        <f t="shared" si="21"/>
        <v>250</v>
      </c>
      <c r="Q80" s="10">
        <v>115000</v>
      </c>
      <c r="R80" s="8">
        <f t="shared" si="22"/>
        <v>460</v>
      </c>
    </row>
    <row r="81" spans="1:23" ht="14.25" customHeight="1" x14ac:dyDescent="0.25">
      <c r="A81" s="10" t="s">
        <v>42</v>
      </c>
      <c r="B81" s="10"/>
      <c r="C81" s="10" t="str">
        <f t="shared" si="14"/>
        <v>244661.5</v>
      </c>
      <c r="D81" s="10">
        <v>244</v>
      </c>
      <c r="E81" s="10">
        <v>66</v>
      </c>
      <c r="F81" s="10">
        <v>1.5</v>
      </c>
      <c r="G81" s="38" t="s">
        <v>36</v>
      </c>
      <c r="H81" s="47" t="s">
        <v>39</v>
      </c>
      <c r="I81" s="16">
        <v>1200</v>
      </c>
      <c r="J81" s="14">
        <f t="shared" si="13"/>
        <v>2.89872</v>
      </c>
      <c r="K81" s="12">
        <v>6</v>
      </c>
      <c r="L81" s="15">
        <v>9</v>
      </c>
      <c r="M81" s="15">
        <f t="shared" si="15"/>
        <v>540</v>
      </c>
      <c r="N81" s="8">
        <f t="shared" si="20"/>
        <v>133.33333333333334</v>
      </c>
      <c r="O81" s="8">
        <f t="shared" si="16"/>
        <v>2.2222222222222223</v>
      </c>
      <c r="P81" s="9">
        <f t="shared" si="21"/>
        <v>200</v>
      </c>
      <c r="Q81" s="10">
        <v>115000</v>
      </c>
      <c r="R81" s="8">
        <f t="shared" si="22"/>
        <v>575</v>
      </c>
    </row>
    <row r="82" spans="1:23" ht="14.25" customHeight="1" x14ac:dyDescent="0.25">
      <c r="A82" s="10" t="s">
        <v>42</v>
      </c>
      <c r="B82" s="10"/>
      <c r="C82" s="10" t="str">
        <f t="shared" si="14"/>
        <v>244653.7</v>
      </c>
      <c r="D82" s="10">
        <v>244</v>
      </c>
      <c r="E82" s="10">
        <v>65</v>
      </c>
      <c r="F82" s="10">
        <v>3.7</v>
      </c>
      <c r="G82" s="38" t="s">
        <v>39</v>
      </c>
      <c r="H82" s="47" t="s">
        <v>39</v>
      </c>
      <c r="I82" s="13">
        <v>1500</v>
      </c>
      <c r="J82" s="14">
        <f t="shared" si="13"/>
        <v>8.8023000000000007</v>
      </c>
      <c r="K82" s="12">
        <v>6</v>
      </c>
      <c r="L82" s="15">
        <v>9</v>
      </c>
      <c r="M82" s="15">
        <f t="shared" si="15"/>
        <v>540</v>
      </c>
      <c r="N82" s="8">
        <f t="shared" si="20"/>
        <v>166.66666666666666</v>
      </c>
      <c r="O82" s="8">
        <f t="shared" si="16"/>
        <v>2.7777777777777777</v>
      </c>
      <c r="P82" s="9">
        <f t="shared" si="21"/>
        <v>250</v>
      </c>
      <c r="Q82" s="10">
        <v>115000</v>
      </c>
      <c r="R82" s="8">
        <f t="shared" si="22"/>
        <v>460</v>
      </c>
    </row>
    <row r="83" spans="1:23" ht="14.25" customHeight="1" x14ac:dyDescent="0.25">
      <c r="A83" s="10" t="s">
        <v>42</v>
      </c>
      <c r="B83" s="10"/>
      <c r="C83" s="10" t="str">
        <f t="shared" si="14"/>
        <v>130683.7</v>
      </c>
      <c r="D83" s="10">
        <v>130</v>
      </c>
      <c r="E83" s="10">
        <v>68</v>
      </c>
      <c r="F83" s="10">
        <v>3.7</v>
      </c>
      <c r="G83" s="38" t="s">
        <v>36</v>
      </c>
      <c r="H83" s="47" t="s">
        <v>39</v>
      </c>
      <c r="I83" s="16">
        <v>450</v>
      </c>
      <c r="J83" s="14">
        <f t="shared" si="13"/>
        <v>1.4718599999999999</v>
      </c>
      <c r="K83" s="12">
        <v>6</v>
      </c>
      <c r="L83" s="15">
        <v>9</v>
      </c>
      <c r="M83" s="15">
        <f t="shared" si="15"/>
        <v>540</v>
      </c>
      <c r="N83" s="8">
        <f t="shared" si="20"/>
        <v>50</v>
      </c>
      <c r="O83" s="8">
        <f t="shared" si="16"/>
        <v>0.83333333333333337</v>
      </c>
      <c r="P83" s="9">
        <f t="shared" si="21"/>
        <v>75</v>
      </c>
      <c r="Q83" s="10">
        <v>115000</v>
      </c>
      <c r="R83" s="8">
        <f t="shared" si="22"/>
        <v>1533.3333333333333</v>
      </c>
    </row>
    <row r="84" spans="1:23" ht="14.25" customHeight="1" x14ac:dyDescent="0.25">
      <c r="A84" s="10" t="s">
        <v>42</v>
      </c>
      <c r="B84" s="10"/>
      <c r="C84" s="10" t="str">
        <f t="shared" si="14"/>
        <v>2441221.8</v>
      </c>
      <c r="D84" s="10">
        <v>244</v>
      </c>
      <c r="E84" s="10">
        <v>122</v>
      </c>
      <c r="F84" s="10">
        <v>1.8</v>
      </c>
      <c r="G84" s="38">
        <v>2</v>
      </c>
      <c r="H84" s="47" t="s">
        <v>43</v>
      </c>
      <c r="I84" s="16">
        <v>1250</v>
      </c>
      <c r="J84" s="14">
        <f t="shared" si="13"/>
        <v>6.6978</v>
      </c>
      <c r="K84" s="12">
        <v>6</v>
      </c>
      <c r="L84" s="15">
        <v>9</v>
      </c>
      <c r="M84" s="15">
        <f t="shared" si="15"/>
        <v>540</v>
      </c>
      <c r="N84" s="8">
        <f t="shared" si="20"/>
        <v>138.88888888888889</v>
      </c>
      <c r="O84" s="8">
        <f t="shared" si="16"/>
        <v>2.3148148148148149</v>
      </c>
      <c r="P84" s="9">
        <f t="shared" si="21"/>
        <v>208.33333333333334</v>
      </c>
      <c r="Q84" s="10">
        <v>115000</v>
      </c>
      <c r="R84" s="8">
        <f t="shared" si="22"/>
        <v>552</v>
      </c>
    </row>
    <row r="85" spans="1:23" ht="14.25" customHeight="1" x14ac:dyDescent="0.25">
      <c r="A85" s="10" t="s">
        <v>42</v>
      </c>
      <c r="B85" s="10"/>
      <c r="C85" s="10" t="str">
        <f t="shared" si="14"/>
        <v>130683.7</v>
      </c>
      <c r="D85" s="10">
        <v>130</v>
      </c>
      <c r="E85" s="10">
        <v>68</v>
      </c>
      <c r="F85" s="10">
        <v>3.7</v>
      </c>
      <c r="G85" s="38" t="s">
        <v>36</v>
      </c>
      <c r="H85" s="47" t="s">
        <v>39</v>
      </c>
      <c r="I85" s="16">
        <v>1100</v>
      </c>
      <c r="J85" s="14">
        <f t="shared" si="13"/>
        <v>3.59788</v>
      </c>
      <c r="K85" s="12">
        <v>6</v>
      </c>
      <c r="L85" s="15">
        <v>9</v>
      </c>
      <c r="M85" s="15">
        <f t="shared" si="15"/>
        <v>540</v>
      </c>
      <c r="N85" s="8">
        <f t="shared" si="20"/>
        <v>122.22222222222223</v>
      </c>
      <c r="O85" s="8">
        <f t="shared" si="16"/>
        <v>2.0370370370370372</v>
      </c>
      <c r="P85" s="9">
        <f t="shared" si="21"/>
        <v>183.33333333333334</v>
      </c>
      <c r="Q85" s="10">
        <v>115000</v>
      </c>
      <c r="R85" s="8">
        <f t="shared" si="22"/>
        <v>627.27272727272725</v>
      </c>
    </row>
    <row r="86" spans="1:23" ht="14.25" customHeight="1" x14ac:dyDescent="0.25">
      <c r="A86" s="10" t="s">
        <v>44</v>
      </c>
      <c r="B86" s="10"/>
      <c r="C86" s="10" t="str">
        <f t="shared" si="14"/>
        <v>1221303.7</v>
      </c>
      <c r="D86" s="10">
        <v>122</v>
      </c>
      <c r="E86" s="10">
        <v>130</v>
      </c>
      <c r="F86" s="10">
        <v>3.7</v>
      </c>
      <c r="G86" s="10"/>
      <c r="H86" s="47"/>
      <c r="I86" s="16">
        <v>1800</v>
      </c>
      <c r="J86" s="14">
        <f t="shared" si="13"/>
        <v>10.562760000000001</v>
      </c>
      <c r="K86" s="12">
        <v>2</v>
      </c>
      <c r="L86" s="15">
        <v>9</v>
      </c>
      <c r="M86" s="15">
        <f t="shared" si="15"/>
        <v>540</v>
      </c>
      <c r="N86" s="8">
        <f t="shared" si="20"/>
        <v>200</v>
      </c>
      <c r="O86" s="8">
        <f t="shared" si="16"/>
        <v>3.3333333333333335</v>
      </c>
      <c r="P86" s="9">
        <f t="shared" si="21"/>
        <v>900</v>
      </c>
      <c r="Q86" s="10">
        <v>115000</v>
      </c>
      <c r="R86" s="8">
        <f t="shared" si="22"/>
        <v>127.77777777777777</v>
      </c>
    </row>
    <row r="87" spans="1:23" ht="14.25" customHeight="1" x14ac:dyDescent="0.25">
      <c r="A87" s="10" t="s">
        <v>44</v>
      </c>
      <c r="B87" s="10"/>
      <c r="C87" s="10" t="str">
        <f t="shared" si="14"/>
        <v>1221304</v>
      </c>
      <c r="D87" s="10">
        <v>122</v>
      </c>
      <c r="E87" s="10">
        <v>130</v>
      </c>
      <c r="F87" s="10">
        <v>4</v>
      </c>
      <c r="G87" s="10"/>
      <c r="H87" s="47"/>
      <c r="I87" s="16">
        <v>1800</v>
      </c>
      <c r="J87" s="14">
        <f t="shared" si="13"/>
        <v>11.4192</v>
      </c>
      <c r="K87" s="15">
        <v>2</v>
      </c>
      <c r="L87" s="15">
        <v>9</v>
      </c>
      <c r="M87" s="15">
        <f t="shared" si="15"/>
        <v>540</v>
      </c>
      <c r="N87" s="8">
        <f t="shared" si="20"/>
        <v>200</v>
      </c>
      <c r="O87" s="8">
        <f t="shared" si="16"/>
        <v>3.3333333333333335</v>
      </c>
      <c r="P87" s="9">
        <f t="shared" si="21"/>
        <v>900</v>
      </c>
      <c r="Q87" s="10">
        <v>115000</v>
      </c>
      <c r="R87" s="8">
        <f t="shared" si="22"/>
        <v>127.77777777777777</v>
      </c>
      <c r="U87" s="1"/>
      <c r="V87" s="1"/>
      <c r="W87" s="1"/>
    </row>
    <row r="88" spans="1:23" ht="14.25" customHeight="1" x14ac:dyDescent="0.25">
      <c r="A88" s="10" t="s">
        <v>44</v>
      </c>
      <c r="B88" s="10"/>
      <c r="C88" s="10" t="str">
        <f t="shared" si="14"/>
        <v>1221302.2</v>
      </c>
      <c r="D88" s="10">
        <v>122</v>
      </c>
      <c r="E88" s="10">
        <v>130</v>
      </c>
      <c r="F88" s="10">
        <v>2.2000000000000002</v>
      </c>
      <c r="G88" s="10"/>
      <c r="H88" s="47"/>
      <c r="I88" s="16">
        <v>2000</v>
      </c>
      <c r="J88" s="14">
        <f t="shared" si="13"/>
        <v>6.9783999999999997</v>
      </c>
      <c r="K88" s="15">
        <v>2</v>
      </c>
      <c r="L88" s="15">
        <v>9</v>
      </c>
      <c r="M88" s="15">
        <f t="shared" si="15"/>
        <v>540</v>
      </c>
      <c r="N88" s="8">
        <f t="shared" si="20"/>
        <v>222.22222222222223</v>
      </c>
      <c r="O88" s="8">
        <f t="shared" si="16"/>
        <v>3.7037037037037037</v>
      </c>
      <c r="P88" s="9">
        <f t="shared" si="21"/>
        <v>1000</v>
      </c>
      <c r="Q88" s="10">
        <v>115000</v>
      </c>
      <c r="R88" s="8">
        <f t="shared" si="22"/>
        <v>115</v>
      </c>
      <c r="U88" s="1"/>
      <c r="V88" s="1"/>
      <c r="W88" s="1"/>
    </row>
    <row r="89" spans="1:23" ht="14.25" customHeight="1" x14ac:dyDescent="0.25">
      <c r="A89" s="10" t="s">
        <v>44</v>
      </c>
      <c r="B89" s="10"/>
      <c r="C89" s="10" t="str">
        <f t="shared" si="14"/>
        <v>1221301.5</v>
      </c>
      <c r="D89" s="48">
        <v>122</v>
      </c>
      <c r="E89" s="48">
        <v>130</v>
      </c>
      <c r="F89" s="48">
        <v>1.5</v>
      </c>
      <c r="G89" s="10"/>
      <c r="H89" s="47"/>
      <c r="I89" s="16">
        <v>2500</v>
      </c>
      <c r="J89" s="14">
        <f t="shared" si="13"/>
        <v>5.9474999999999998</v>
      </c>
      <c r="K89" s="15">
        <v>2</v>
      </c>
      <c r="L89" s="15">
        <v>9</v>
      </c>
      <c r="M89" s="15">
        <f t="shared" si="15"/>
        <v>540</v>
      </c>
      <c r="N89" s="8">
        <f t="shared" si="20"/>
        <v>277.77777777777777</v>
      </c>
      <c r="O89" s="8">
        <f t="shared" si="16"/>
        <v>4.6296296296296298</v>
      </c>
      <c r="P89" s="9">
        <f t="shared" si="21"/>
        <v>1250</v>
      </c>
      <c r="Q89" s="10">
        <v>115000</v>
      </c>
      <c r="R89" s="8">
        <f t="shared" si="22"/>
        <v>92</v>
      </c>
      <c r="U89" s="1"/>
      <c r="V89" s="1"/>
      <c r="W89" s="1"/>
    </row>
    <row r="90" spans="1:23" ht="14.25" customHeight="1" x14ac:dyDescent="0.25">
      <c r="A90" s="10" t="s">
        <v>44</v>
      </c>
      <c r="B90" s="10"/>
      <c r="C90" s="10" t="str">
        <f t="shared" si="14"/>
        <v>122653.7</v>
      </c>
      <c r="D90" s="49">
        <v>122</v>
      </c>
      <c r="E90" s="49">
        <v>65</v>
      </c>
      <c r="F90" s="49">
        <v>3.7</v>
      </c>
      <c r="G90" s="39">
        <v>3</v>
      </c>
      <c r="H90" s="37" t="s">
        <v>39</v>
      </c>
      <c r="I90" s="13">
        <v>3500</v>
      </c>
      <c r="J90" s="14">
        <f t="shared" si="13"/>
        <v>10.269349999999999</v>
      </c>
      <c r="K90" s="15">
        <v>2</v>
      </c>
      <c r="L90" s="15">
        <v>9</v>
      </c>
      <c r="M90" s="15">
        <f t="shared" si="15"/>
        <v>540</v>
      </c>
      <c r="N90" s="8">
        <f t="shared" si="20"/>
        <v>388.88888888888891</v>
      </c>
      <c r="O90" s="8">
        <f t="shared" si="16"/>
        <v>6.4814814814814818</v>
      </c>
      <c r="P90" s="9">
        <f t="shared" si="21"/>
        <v>1750</v>
      </c>
      <c r="Q90" s="10">
        <v>115000</v>
      </c>
      <c r="R90" s="8">
        <f t="shared" si="22"/>
        <v>65.714285714285708</v>
      </c>
      <c r="U90" s="1"/>
      <c r="V90" s="1"/>
      <c r="W90" s="1"/>
    </row>
    <row r="91" spans="1:23" ht="14.25" customHeight="1" x14ac:dyDescent="0.25">
      <c r="A91" s="10" t="s">
        <v>44</v>
      </c>
      <c r="B91" s="10"/>
      <c r="C91" s="10" t="str">
        <f t="shared" si="14"/>
        <v>130653.7</v>
      </c>
      <c r="D91" s="49">
        <v>130</v>
      </c>
      <c r="E91" s="49">
        <v>65</v>
      </c>
      <c r="F91" s="49">
        <v>3.7</v>
      </c>
      <c r="G91" s="39" t="s">
        <v>36</v>
      </c>
      <c r="H91" s="37" t="s">
        <v>39</v>
      </c>
      <c r="I91" s="13">
        <v>3500</v>
      </c>
      <c r="J91" s="14">
        <f t="shared" si="13"/>
        <v>10.94275</v>
      </c>
      <c r="K91" s="15">
        <v>2</v>
      </c>
      <c r="L91" s="15">
        <v>9</v>
      </c>
      <c r="M91" s="15">
        <f t="shared" si="15"/>
        <v>540</v>
      </c>
      <c r="N91" s="8">
        <f t="shared" si="20"/>
        <v>388.88888888888891</v>
      </c>
      <c r="O91" s="8">
        <f t="shared" si="16"/>
        <v>6.4814814814814818</v>
      </c>
      <c r="P91" s="9">
        <f t="shared" si="21"/>
        <v>1750</v>
      </c>
      <c r="Q91" s="10">
        <v>115000</v>
      </c>
      <c r="R91" s="8">
        <f t="shared" si="22"/>
        <v>65.714285714285708</v>
      </c>
    </row>
    <row r="92" spans="1:23" ht="14.25" customHeight="1" x14ac:dyDescent="0.25">
      <c r="A92" s="10" t="s">
        <v>44</v>
      </c>
      <c r="B92" s="10"/>
      <c r="C92" s="10" t="str">
        <f t="shared" si="14"/>
        <v>67683.7</v>
      </c>
      <c r="D92" s="49">
        <v>67</v>
      </c>
      <c r="E92" s="49">
        <v>68</v>
      </c>
      <c r="F92" s="49">
        <v>3.7</v>
      </c>
      <c r="G92" s="39" t="s">
        <v>36</v>
      </c>
      <c r="H92" s="37" t="s">
        <v>39</v>
      </c>
      <c r="I92" s="13">
        <v>4000</v>
      </c>
      <c r="J92" s="14">
        <f t="shared" si="13"/>
        <v>6.7428800000000004</v>
      </c>
      <c r="K92" s="15">
        <v>2</v>
      </c>
      <c r="L92" s="15">
        <v>9</v>
      </c>
      <c r="M92" s="15">
        <f t="shared" si="15"/>
        <v>540</v>
      </c>
      <c r="N92" s="8">
        <f t="shared" si="20"/>
        <v>444.44444444444446</v>
      </c>
      <c r="O92" s="8">
        <f t="shared" si="16"/>
        <v>7.4074074074074074</v>
      </c>
      <c r="P92" s="9">
        <f t="shared" si="21"/>
        <v>2000</v>
      </c>
      <c r="Q92" s="10">
        <v>115000</v>
      </c>
      <c r="R92" s="8">
        <f t="shared" si="22"/>
        <v>57.5</v>
      </c>
    </row>
    <row r="93" spans="1:23" ht="14.25" customHeight="1" x14ac:dyDescent="0.25">
      <c r="A93" s="10" t="s">
        <v>44</v>
      </c>
      <c r="B93" s="10"/>
      <c r="C93" s="10" t="str">
        <f t="shared" si="14"/>
        <v>66653.7</v>
      </c>
      <c r="D93" s="48">
        <v>66</v>
      </c>
      <c r="E93" s="48">
        <v>65</v>
      </c>
      <c r="F93" s="48">
        <v>3.7</v>
      </c>
      <c r="G93" s="38" t="s">
        <v>36</v>
      </c>
      <c r="H93" s="47" t="s">
        <v>39</v>
      </c>
      <c r="I93" s="16">
        <v>3000</v>
      </c>
      <c r="J93" s="14">
        <f t="shared" si="13"/>
        <v>4.7618999999999998</v>
      </c>
      <c r="K93" s="15">
        <v>2</v>
      </c>
      <c r="L93" s="15">
        <v>9</v>
      </c>
      <c r="M93" s="15">
        <f t="shared" si="15"/>
        <v>540</v>
      </c>
      <c r="N93" s="8">
        <f t="shared" si="20"/>
        <v>333.33333333333331</v>
      </c>
      <c r="O93" s="8">
        <f t="shared" si="16"/>
        <v>5.5555555555555554</v>
      </c>
      <c r="P93" s="9">
        <f t="shared" si="21"/>
        <v>1500</v>
      </c>
      <c r="Q93" s="10">
        <v>115000</v>
      </c>
      <c r="R93" s="8">
        <f t="shared" si="22"/>
        <v>76.666666666666671</v>
      </c>
    </row>
    <row r="94" spans="1:23" ht="14.25" customHeight="1" x14ac:dyDescent="0.25">
      <c r="A94" s="10" t="s">
        <v>44</v>
      </c>
      <c r="B94" s="10"/>
      <c r="C94" s="10" t="str">
        <f t="shared" si="14"/>
        <v>48653.7</v>
      </c>
      <c r="D94" s="48">
        <v>48</v>
      </c>
      <c r="E94" s="48">
        <v>65</v>
      </c>
      <c r="F94" s="48">
        <v>3.7</v>
      </c>
      <c r="G94" s="38" t="s">
        <v>36</v>
      </c>
      <c r="H94" s="47" t="s">
        <v>39</v>
      </c>
      <c r="I94" s="16">
        <v>3000</v>
      </c>
      <c r="J94" s="14">
        <f t="shared" si="13"/>
        <v>3.4632000000000001</v>
      </c>
      <c r="K94" s="15">
        <v>2</v>
      </c>
      <c r="L94" s="15">
        <v>9</v>
      </c>
      <c r="M94" s="15">
        <f t="shared" si="15"/>
        <v>540</v>
      </c>
      <c r="N94" s="8">
        <f t="shared" si="20"/>
        <v>333.33333333333331</v>
      </c>
      <c r="O94" s="8">
        <f t="shared" si="16"/>
        <v>5.5555555555555554</v>
      </c>
      <c r="P94" s="9">
        <f t="shared" si="21"/>
        <v>1500</v>
      </c>
      <c r="Q94" s="10">
        <v>115000</v>
      </c>
      <c r="R94" s="8">
        <f t="shared" si="22"/>
        <v>76.666666666666671</v>
      </c>
    </row>
    <row r="95" spans="1:23" ht="14.25" customHeight="1" x14ac:dyDescent="0.25">
      <c r="A95" s="10" t="s">
        <v>44</v>
      </c>
      <c r="B95" s="10"/>
      <c r="C95" s="10" t="str">
        <f t="shared" si="14"/>
        <v>130661.8</v>
      </c>
      <c r="D95" s="10">
        <v>130</v>
      </c>
      <c r="E95" s="10">
        <v>66</v>
      </c>
      <c r="F95" s="10">
        <v>1.8</v>
      </c>
      <c r="G95" s="38" t="s">
        <v>36</v>
      </c>
      <c r="H95" s="47" t="s">
        <v>43</v>
      </c>
      <c r="I95" s="16">
        <v>3000</v>
      </c>
      <c r="J95" s="14">
        <f t="shared" si="13"/>
        <v>4.6332000000000004</v>
      </c>
      <c r="K95" s="15">
        <v>2</v>
      </c>
      <c r="L95" s="15">
        <v>9</v>
      </c>
      <c r="M95" s="15">
        <f t="shared" si="15"/>
        <v>540</v>
      </c>
      <c r="N95" s="8">
        <f t="shared" si="20"/>
        <v>333.33333333333331</v>
      </c>
      <c r="O95" s="8">
        <f t="shared" si="16"/>
        <v>5.5555555555555554</v>
      </c>
      <c r="P95" s="9">
        <f t="shared" si="21"/>
        <v>1500</v>
      </c>
      <c r="Q95" s="10">
        <v>115000</v>
      </c>
      <c r="R95" s="8">
        <f t="shared" si="22"/>
        <v>76.666666666666671</v>
      </c>
    </row>
    <row r="96" spans="1:23" ht="14.25" customHeight="1" x14ac:dyDescent="0.25">
      <c r="A96" s="10" t="s">
        <v>44</v>
      </c>
      <c r="B96" s="10"/>
      <c r="C96" s="10" t="str">
        <f t="shared" si="14"/>
        <v>48683.7</v>
      </c>
      <c r="D96" s="10">
        <v>48</v>
      </c>
      <c r="E96" s="10">
        <v>68</v>
      </c>
      <c r="F96" s="10">
        <v>3.7</v>
      </c>
      <c r="G96" s="38" t="s">
        <v>36</v>
      </c>
      <c r="H96" s="47" t="s">
        <v>39</v>
      </c>
      <c r="I96" s="16">
        <v>3000</v>
      </c>
      <c r="J96" s="14">
        <f t="shared" si="13"/>
        <v>3.62304</v>
      </c>
      <c r="K96" s="15">
        <v>2</v>
      </c>
      <c r="L96" s="15">
        <v>9</v>
      </c>
      <c r="M96" s="15">
        <f t="shared" si="15"/>
        <v>540</v>
      </c>
      <c r="N96" s="8">
        <f t="shared" si="20"/>
        <v>333.33333333333331</v>
      </c>
      <c r="O96" s="8">
        <f t="shared" si="16"/>
        <v>5.5555555555555554</v>
      </c>
      <c r="P96" s="9">
        <f t="shared" si="21"/>
        <v>1500</v>
      </c>
      <c r="Q96" s="10">
        <v>115000</v>
      </c>
      <c r="R96" s="8">
        <f t="shared" si="22"/>
        <v>76.666666666666671</v>
      </c>
    </row>
    <row r="97" spans="1:19" ht="14.25" customHeight="1" x14ac:dyDescent="0.25">
      <c r="A97" s="10" t="s">
        <v>44</v>
      </c>
      <c r="B97" s="10"/>
      <c r="C97" s="48" t="str">
        <f t="shared" si="14"/>
        <v>1221301.8</v>
      </c>
      <c r="D97" s="50">
        <v>122</v>
      </c>
      <c r="E97" s="50">
        <v>130</v>
      </c>
      <c r="F97" s="50">
        <v>1.8</v>
      </c>
      <c r="G97" s="50">
        <v>2</v>
      </c>
      <c r="H97" s="50" t="s">
        <v>43</v>
      </c>
      <c r="I97" s="16">
        <v>2000</v>
      </c>
      <c r="J97" s="14">
        <f t="shared" si="13"/>
        <v>5.7096</v>
      </c>
      <c r="K97" s="15">
        <v>2</v>
      </c>
      <c r="L97" s="15">
        <v>9</v>
      </c>
      <c r="M97" s="15">
        <f t="shared" si="15"/>
        <v>540</v>
      </c>
      <c r="N97" s="8">
        <f t="shared" si="20"/>
        <v>222.22222222222223</v>
      </c>
      <c r="O97" s="8">
        <f t="shared" si="16"/>
        <v>3.7037037037037037</v>
      </c>
      <c r="P97" s="9">
        <f t="shared" si="21"/>
        <v>1000</v>
      </c>
      <c r="Q97" s="10">
        <v>115000</v>
      </c>
      <c r="R97" s="8">
        <f t="shared" si="22"/>
        <v>115</v>
      </c>
    </row>
    <row r="98" spans="1:19" ht="14.25" customHeight="1" x14ac:dyDescent="0.25">
      <c r="A98" s="10" t="s">
        <v>45</v>
      </c>
      <c r="B98" s="10"/>
      <c r="C98" s="10" t="str">
        <f t="shared" si="14"/>
        <v>6665</v>
      </c>
      <c r="D98" s="10">
        <v>66</v>
      </c>
      <c r="E98" s="10">
        <v>65</v>
      </c>
      <c r="F98" s="10"/>
      <c r="G98" s="38"/>
      <c r="H98" s="47"/>
      <c r="I98" s="16">
        <v>4000</v>
      </c>
      <c r="J98" s="14">
        <f t="shared" si="13"/>
        <v>0</v>
      </c>
      <c r="K98" s="15">
        <v>2</v>
      </c>
      <c r="L98" s="15">
        <v>9</v>
      </c>
      <c r="M98" s="15">
        <f t="shared" si="15"/>
        <v>540</v>
      </c>
      <c r="N98" s="8">
        <f t="shared" si="20"/>
        <v>444.44444444444446</v>
      </c>
      <c r="O98" s="8">
        <f t="shared" si="16"/>
        <v>7.4074074074074074</v>
      </c>
      <c r="P98" s="9">
        <f t="shared" si="21"/>
        <v>2000</v>
      </c>
      <c r="Q98" s="10">
        <v>115000</v>
      </c>
      <c r="R98" s="8">
        <f t="shared" si="22"/>
        <v>57.5</v>
      </c>
    </row>
    <row r="99" spans="1:19" ht="14.25" customHeight="1" x14ac:dyDescent="0.25">
      <c r="A99" s="10" t="s">
        <v>45</v>
      </c>
      <c r="B99" s="10"/>
      <c r="C99" s="10" t="str">
        <f t="shared" si="14"/>
        <v>4865</v>
      </c>
      <c r="D99" s="10">
        <v>48</v>
      </c>
      <c r="E99" s="10">
        <v>65</v>
      </c>
      <c r="F99" s="10"/>
      <c r="G99" s="38"/>
      <c r="H99" s="47"/>
      <c r="I99" s="16">
        <v>4000</v>
      </c>
      <c r="J99" s="14">
        <f t="shared" si="13"/>
        <v>0</v>
      </c>
      <c r="K99" s="15">
        <v>2</v>
      </c>
      <c r="L99" s="15">
        <v>9</v>
      </c>
      <c r="M99" s="15">
        <f t="shared" si="15"/>
        <v>540</v>
      </c>
      <c r="N99" s="8">
        <f t="shared" si="20"/>
        <v>444.44444444444446</v>
      </c>
      <c r="O99" s="8">
        <f t="shared" si="16"/>
        <v>7.4074074074074074</v>
      </c>
      <c r="P99" s="9">
        <f t="shared" si="21"/>
        <v>2000</v>
      </c>
      <c r="Q99" s="10">
        <v>115000</v>
      </c>
      <c r="R99" s="8">
        <f t="shared" si="22"/>
        <v>57.5</v>
      </c>
    </row>
    <row r="100" spans="1:19" ht="14.25" customHeight="1" x14ac:dyDescent="0.25">
      <c r="A100" s="10" t="s">
        <v>46</v>
      </c>
      <c r="B100" s="10"/>
      <c r="C100" s="10" t="str">
        <f t="shared" si="14"/>
        <v>2441229</v>
      </c>
      <c r="D100" s="10">
        <v>244</v>
      </c>
      <c r="E100" s="10">
        <v>122</v>
      </c>
      <c r="F100" s="10">
        <v>9</v>
      </c>
      <c r="G100" s="38" t="s">
        <v>43</v>
      </c>
      <c r="H100" s="47" t="s">
        <v>47</v>
      </c>
      <c r="I100" s="16">
        <v>200</v>
      </c>
      <c r="J100" s="14">
        <f t="shared" si="13"/>
        <v>5.3582400000000003</v>
      </c>
      <c r="K100" s="15">
        <v>10</v>
      </c>
      <c r="L100" s="15">
        <v>9</v>
      </c>
      <c r="M100" s="15">
        <f t="shared" si="15"/>
        <v>540</v>
      </c>
      <c r="N100" s="8">
        <f t="shared" si="20"/>
        <v>22.222222222222221</v>
      </c>
      <c r="O100" s="8">
        <f t="shared" si="16"/>
        <v>0.37037037037037035</v>
      </c>
      <c r="P100" s="9">
        <f t="shared" si="21"/>
        <v>20</v>
      </c>
      <c r="Q100" s="10">
        <v>115000</v>
      </c>
      <c r="R100" s="8">
        <f t="shared" si="22"/>
        <v>5750</v>
      </c>
    </row>
    <row r="101" spans="1:19" ht="14.25" customHeight="1" x14ac:dyDescent="0.25">
      <c r="A101" s="10" t="s">
        <v>46</v>
      </c>
      <c r="B101" s="10"/>
      <c r="C101" s="10" t="str">
        <f t="shared" si="14"/>
        <v>24412211</v>
      </c>
      <c r="D101" s="10">
        <v>244</v>
      </c>
      <c r="E101" s="10">
        <v>122</v>
      </c>
      <c r="F101" s="10">
        <v>11</v>
      </c>
      <c r="G101" s="38" t="s">
        <v>43</v>
      </c>
      <c r="H101" s="47" t="s">
        <v>48</v>
      </c>
      <c r="I101" s="16">
        <v>170</v>
      </c>
      <c r="J101" s="14">
        <f t="shared" ref="J101:J131" si="23">D101*E101*F101*I101/10000000</f>
        <v>5.5666159999999998</v>
      </c>
      <c r="K101" s="15">
        <v>10</v>
      </c>
      <c r="L101" s="15">
        <v>9</v>
      </c>
      <c r="M101" s="15">
        <f t="shared" si="15"/>
        <v>540</v>
      </c>
      <c r="N101" s="8">
        <v>17</v>
      </c>
      <c r="O101" s="8">
        <f t="shared" si="16"/>
        <v>0.31481481481481483</v>
      </c>
      <c r="P101" s="9">
        <v>17</v>
      </c>
      <c r="Q101" s="10">
        <v>115000</v>
      </c>
      <c r="R101" s="8">
        <v>6764.7058823529396</v>
      </c>
    </row>
    <row r="102" spans="1:19" ht="14.25" customHeight="1" x14ac:dyDescent="0.25">
      <c r="A102" s="10" t="s">
        <v>46</v>
      </c>
      <c r="B102" s="10"/>
      <c r="C102" s="10" t="str">
        <f t="shared" si="14"/>
        <v>24412212</v>
      </c>
      <c r="D102" s="10">
        <v>244</v>
      </c>
      <c r="E102" s="10">
        <v>122</v>
      </c>
      <c r="F102" s="10">
        <v>12</v>
      </c>
      <c r="G102" s="38" t="s">
        <v>43</v>
      </c>
      <c r="H102" s="47" t="s">
        <v>48</v>
      </c>
      <c r="I102" s="16">
        <v>170</v>
      </c>
      <c r="J102" s="14">
        <f t="shared" si="23"/>
        <v>6.0726719999999998</v>
      </c>
      <c r="K102" s="15">
        <v>10</v>
      </c>
      <c r="L102" s="15">
        <v>9</v>
      </c>
      <c r="M102" s="15">
        <f t="shared" si="15"/>
        <v>540</v>
      </c>
      <c r="N102" s="8">
        <f t="shared" ref="N102:N114" si="24">I102/L102</f>
        <v>18.888888888888889</v>
      </c>
      <c r="O102" s="8">
        <f t="shared" si="16"/>
        <v>0.31481481481481483</v>
      </c>
      <c r="P102" s="9">
        <f t="shared" ref="P102:P114" si="25">I102/K102</f>
        <v>17</v>
      </c>
      <c r="Q102" s="10">
        <v>115000</v>
      </c>
      <c r="R102" s="8">
        <f t="shared" ref="R102:R114" si="26">Q102/P102</f>
        <v>6764.7058823529414</v>
      </c>
    </row>
    <row r="103" spans="1:19" ht="14.25" customHeight="1" x14ac:dyDescent="0.25">
      <c r="A103" s="10" t="s">
        <v>46</v>
      </c>
      <c r="B103" s="10"/>
      <c r="C103" s="10" t="str">
        <f t="shared" si="14"/>
        <v>24412215</v>
      </c>
      <c r="D103" s="10">
        <v>244</v>
      </c>
      <c r="E103" s="10">
        <v>122</v>
      </c>
      <c r="F103" s="10">
        <v>15</v>
      </c>
      <c r="G103" s="38" t="s">
        <v>43</v>
      </c>
      <c r="H103" s="47" t="s">
        <v>48</v>
      </c>
      <c r="I103" s="16">
        <v>150</v>
      </c>
      <c r="J103" s="14">
        <f t="shared" si="23"/>
        <v>6.6978</v>
      </c>
      <c r="K103" s="15">
        <v>10</v>
      </c>
      <c r="L103" s="15">
        <v>9</v>
      </c>
      <c r="M103" s="15">
        <f t="shared" si="15"/>
        <v>540</v>
      </c>
      <c r="N103" s="8">
        <f t="shared" si="24"/>
        <v>16.666666666666668</v>
      </c>
      <c r="O103" s="8">
        <f t="shared" si="16"/>
        <v>0.27777777777777779</v>
      </c>
      <c r="P103" s="9">
        <f t="shared" si="25"/>
        <v>15</v>
      </c>
      <c r="Q103" s="10">
        <v>115000</v>
      </c>
      <c r="R103" s="8">
        <f t="shared" si="26"/>
        <v>7666.666666666667</v>
      </c>
    </row>
    <row r="104" spans="1:19" ht="14.25" customHeight="1" x14ac:dyDescent="0.25">
      <c r="A104" s="10" t="s">
        <v>46</v>
      </c>
      <c r="B104" s="10"/>
      <c r="C104" s="10" t="str">
        <f t="shared" si="14"/>
        <v>24412218</v>
      </c>
      <c r="D104" s="10">
        <v>244</v>
      </c>
      <c r="E104" s="10">
        <v>122</v>
      </c>
      <c r="F104" s="10">
        <v>18</v>
      </c>
      <c r="G104" s="38" t="s">
        <v>43</v>
      </c>
      <c r="H104" s="47" t="s">
        <v>48</v>
      </c>
      <c r="I104" s="16">
        <v>130</v>
      </c>
      <c r="J104" s="14">
        <f t="shared" si="23"/>
        <v>6.9657119999999999</v>
      </c>
      <c r="K104" s="15">
        <v>10</v>
      </c>
      <c r="L104" s="15">
        <v>9</v>
      </c>
      <c r="M104" s="15">
        <f t="shared" si="15"/>
        <v>540</v>
      </c>
      <c r="N104" s="8">
        <f t="shared" si="24"/>
        <v>14.444444444444445</v>
      </c>
      <c r="O104" s="8">
        <f t="shared" si="16"/>
        <v>0.24074074074074073</v>
      </c>
      <c r="P104" s="9">
        <f t="shared" si="25"/>
        <v>13</v>
      </c>
      <c r="Q104" s="10">
        <v>115000</v>
      </c>
      <c r="R104" s="8">
        <f t="shared" si="26"/>
        <v>8846.1538461538457</v>
      </c>
    </row>
    <row r="105" spans="1:19" ht="14.25" customHeight="1" x14ac:dyDescent="0.25">
      <c r="A105" s="10" t="s">
        <v>46</v>
      </c>
      <c r="B105" s="10"/>
      <c r="C105" s="10" t="str">
        <f t="shared" si="14"/>
        <v>110702</v>
      </c>
      <c r="D105" s="10">
        <v>110</v>
      </c>
      <c r="E105" s="10">
        <v>70</v>
      </c>
      <c r="F105" s="10">
        <v>2</v>
      </c>
      <c r="G105" s="38"/>
      <c r="H105" s="47" t="s">
        <v>49</v>
      </c>
      <c r="I105" s="16">
        <v>4000</v>
      </c>
      <c r="J105" s="14">
        <f t="shared" si="23"/>
        <v>6.16</v>
      </c>
      <c r="K105" s="15">
        <v>10</v>
      </c>
      <c r="L105" s="15">
        <v>9</v>
      </c>
      <c r="M105" s="15">
        <f t="shared" si="15"/>
        <v>540</v>
      </c>
      <c r="N105" s="8">
        <f t="shared" si="24"/>
        <v>444.44444444444446</v>
      </c>
      <c r="O105" s="8">
        <f t="shared" si="16"/>
        <v>7.4074074074074074</v>
      </c>
      <c r="P105" s="9">
        <f t="shared" si="25"/>
        <v>400</v>
      </c>
      <c r="Q105" s="10">
        <v>115000</v>
      </c>
      <c r="R105" s="8">
        <f t="shared" si="26"/>
        <v>287.5</v>
      </c>
    </row>
    <row r="106" spans="1:19" ht="14.25" customHeight="1" x14ac:dyDescent="0.25">
      <c r="A106" s="10" t="s">
        <v>46</v>
      </c>
      <c r="B106" s="10"/>
      <c r="C106" s="10" t="str">
        <f t="shared" si="14"/>
        <v>110703</v>
      </c>
      <c r="D106" s="10">
        <v>110</v>
      </c>
      <c r="E106" s="10">
        <v>70</v>
      </c>
      <c r="F106" s="10">
        <v>3</v>
      </c>
      <c r="G106" s="38"/>
      <c r="H106" s="47" t="s">
        <v>49</v>
      </c>
      <c r="I106" s="16">
        <v>3500</v>
      </c>
      <c r="J106" s="14">
        <f t="shared" si="23"/>
        <v>8.0850000000000009</v>
      </c>
      <c r="K106" s="15">
        <v>10</v>
      </c>
      <c r="L106" s="15">
        <v>9</v>
      </c>
      <c r="M106" s="15">
        <f t="shared" si="15"/>
        <v>540</v>
      </c>
      <c r="N106" s="8">
        <f t="shared" si="24"/>
        <v>388.88888888888891</v>
      </c>
      <c r="O106" s="8">
        <f t="shared" si="16"/>
        <v>6.4814814814814818</v>
      </c>
      <c r="P106" s="9">
        <f t="shared" si="25"/>
        <v>350</v>
      </c>
      <c r="Q106" s="10">
        <v>115000</v>
      </c>
      <c r="R106" s="8">
        <f t="shared" si="26"/>
        <v>328.57142857142856</v>
      </c>
    </row>
    <row r="107" spans="1:19" ht="14.25" customHeight="1" x14ac:dyDescent="0.25">
      <c r="A107" s="10" t="s">
        <v>50</v>
      </c>
      <c r="B107" s="10"/>
      <c r="C107" s="10" t="str">
        <f t="shared" si="14"/>
        <v>2441220.5</v>
      </c>
      <c r="D107" s="10">
        <v>244</v>
      </c>
      <c r="E107" s="10">
        <v>122</v>
      </c>
      <c r="F107" s="10">
        <v>0.5</v>
      </c>
      <c r="G107" s="38">
        <v>2</v>
      </c>
      <c r="H107" s="47"/>
      <c r="I107" s="16">
        <v>1600</v>
      </c>
      <c r="J107" s="14">
        <f t="shared" si="23"/>
        <v>2.38144</v>
      </c>
      <c r="K107" s="15">
        <v>2</v>
      </c>
      <c r="L107" s="15">
        <v>9</v>
      </c>
      <c r="M107" s="15">
        <f t="shared" si="15"/>
        <v>540</v>
      </c>
      <c r="N107" s="8">
        <f t="shared" si="24"/>
        <v>177.77777777777777</v>
      </c>
      <c r="O107" s="8">
        <f t="shared" si="16"/>
        <v>2.9629629629629628</v>
      </c>
      <c r="P107" s="9">
        <f t="shared" si="25"/>
        <v>800</v>
      </c>
      <c r="Q107" s="10">
        <v>115000</v>
      </c>
      <c r="R107" s="8">
        <f t="shared" si="26"/>
        <v>143.75</v>
      </c>
    </row>
    <row r="108" spans="1:19" ht="14.25" customHeight="1" x14ac:dyDescent="0.25">
      <c r="A108" s="10" t="s">
        <v>50</v>
      </c>
      <c r="B108" s="10"/>
      <c r="C108" s="10" t="str">
        <f t="shared" si="14"/>
        <v>2441220.5</v>
      </c>
      <c r="D108" s="10">
        <v>244</v>
      </c>
      <c r="E108" s="10">
        <v>122</v>
      </c>
      <c r="F108" s="10">
        <v>0.5</v>
      </c>
      <c r="G108" s="38">
        <v>3</v>
      </c>
      <c r="H108" s="47"/>
      <c r="I108" s="16">
        <v>2200</v>
      </c>
      <c r="J108" s="14">
        <f t="shared" si="23"/>
        <v>3.2744800000000001</v>
      </c>
      <c r="K108" s="15">
        <v>2</v>
      </c>
      <c r="L108" s="15">
        <v>9</v>
      </c>
      <c r="M108" s="15">
        <f t="shared" si="15"/>
        <v>540</v>
      </c>
      <c r="N108" s="8">
        <f t="shared" si="24"/>
        <v>244.44444444444446</v>
      </c>
      <c r="O108" s="8">
        <f t="shared" si="16"/>
        <v>4.0740740740740744</v>
      </c>
      <c r="P108" s="9">
        <f t="shared" si="25"/>
        <v>1100</v>
      </c>
      <c r="Q108" s="10">
        <v>115000</v>
      </c>
      <c r="R108" s="8">
        <f t="shared" si="26"/>
        <v>104.54545454545455</v>
      </c>
    </row>
    <row r="109" spans="1:19" ht="14.25" customHeight="1" x14ac:dyDescent="0.25">
      <c r="A109" s="10" t="s">
        <v>50</v>
      </c>
      <c r="B109" s="10"/>
      <c r="C109" s="10" t="str">
        <f t="shared" si="14"/>
        <v>2441220.5</v>
      </c>
      <c r="D109" s="10">
        <v>244</v>
      </c>
      <c r="E109" s="10">
        <v>122</v>
      </c>
      <c r="F109" s="10">
        <v>0.5</v>
      </c>
      <c r="G109" s="38">
        <v>4</v>
      </c>
      <c r="H109" s="47"/>
      <c r="I109" s="16">
        <v>3500</v>
      </c>
      <c r="J109" s="14">
        <f t="shared" si="23"/>
        <v>5.2093999999999996</v>
      </c>
      <c r="K109" s="15">
        <v>2</v>
      </c>
      <c r="L109" s="15">
        <v>9</v>
      </c>
      <c r="M109" s="15">
        <f t="shared" si="15"/>
        <v>540</v>
      </c>
      <c r="N109" s="8">
        <f t="shared" si="24"/>
        <v>388.88888888888891</v>
      </c>
      <c r="O109" s="8">
        <f t="shared" si="16"/>
        <v>6.4814814814814818</v>
      </c>
      <c r="P109" s="9">
        <f t="shared" si="25"/>
        <v>1750</v>
      </c>
      <c r="Q109" s="10">
        <v>115000</v>
      </c>
      <c r="R109" s="8">
        <f t="shared" si="26"/>
        <v>65.714285714285708</v>
      </c>
    </row>
    <row r="110" spans="1:19" ht="14.25" customHeight="1" x14ac:dyDescent="0.25">
      <c r="A110" s="27" t="s">
        <v>51</v>
      </c>
      <c r="B110" s="27" t="s">
        <v>52</v>
      </c>
      <c r="C110" s="4" t="str">
        <f t="shared" si="14"/>
        <v>SP-PJ48483.7</v>
      </c>
      <c r="D110" s="51">
        <v>48</v>
      </c>
      <c r="E110" s="52">
        <v>48</v>
      </c>
      <c r="F110" s="52">
        <v>3.7</v>
      </c>
      <c r="G110" s="4"/>
      <c r="H110" s="34"/>
      <c r="I110" s="4">
        <f>130*3</f>
        <v>390</v>
      </c>
      <c r="J110" s="7">
        <f>D110*E110*I110/1000000</f>
        <v>0.89856000000000003</v>
      </c>
      <c r="K110" s="5">
        <v>1</v>
      </c>
      <c r="L110" s="5">
        <v>9</v>
      </c>
      <c r="M110" s="5">
        <f t="shared" si="15"/>
        <v>540</v>
      </c>
      <c r="N110" s="8">
        <f t="shared" si="24"/>
        <v>43.333333333333336</v>
      </c>
      <c r="O110" s="8">
        <f t="shared" si="16"/>
        <v>0.72222222222222221</v>
      </c>
      <c r="P110" s="9">
        <f t="shared" si="25"/>
        <v>390</v>
      </c>
      <c r="Q110" s="10">
        <v>115000</v>
      </c>
      <c r="R110" s="53">
        <f t="shared" si="26"/>
        <v>294.87179487179486</v>
      </c>
      <c r="S110" s="2" t="s">
        <v>53</v>
      </c>
    </row>
    <row r="111" spans="1:19" ht="14.25" customHeight="1" x14ac:dyDescent="0.25">
      <c r="A111" s="27" t="s">
        <v>51</v>
      </c>
      <c r="B111" s="27" t="s">
        <v>52</v>
      </c>
      <c r="C111" s="4" t="str">
        <f t="shared" si="14"/>
        <v>SP-PJ68683.7</v>
      </c>
      <c r="D111" s="51">
        <v>68</v>
      </c>
      <c r="E111" s="52">
        <v>68</v>
      </c>
      <c r="F111" s="52">
        <v>3.7</v>
      </c>
      <c r="G111" s="4"/>
      <c r="H111" s="34"/>
      <c r="I111" s="4">
        <f>130*3</f>
        <v>390</v>
      </c>
      <c r="J111" s="7">
        <f t="shared" ref="J111:J118" si="27">D111*E111*I111/1000000</f>
        <v>1.8033600000000001</v>
      </c>
      <c r="K111" s="5">
        <v>1</v>
      </c>
      <c r="L111" s="5">
        <v>9</v>
      </c>
      <c r="M111" s="5">
        <f t="shared" si="15"/>
        <v>540</v>
      </c>
      <c r="N111" s="8">
        <f t="shared" si="24"/>
        <v>43.333333333333336</v>
      </c>
      <c r="O111" s="8">
        <f t="shared" si="16"/>
        <v>0.72222222222222221</v>
      </c>
      <c r="P111" s="9">
        <f t="shared" si="25"/>
        <v>390</v>
      </c>
      <c r="Q111" s="10">
        <v>115000</v>
      </c>
      <c r="R111" s="53">
        <f t="shared" si="26"/>
        <v>294.87179487179486</v>
      </c>
      <c r="S111" s="2" t="s">
        <v>53</v>
      </c>
    </row>
    <row r="112" spans="1:19" ht="14.25" customHeight="1" x14ac:dyDescent="0.25">
      <c r="A112" s="27" t="s">
        <v>51</v>
      </c>
      <c r="B112" s="27" t="s">
        <v>52</v>
      </c>
      <c r="C112" s="4" t="str">
        <f t="shared" si="14"/>
        <v>SP-PJ48481.8</v>
      </c>
      <c r="D112" s="51">
        <v>48</v>
      </c>
      <c r="E112" s="52">
        <v>48</v>
      </c>
      <c r="F112" s="52">
        <v>1.8</v>
      </c>
      <c r="G112" s="4"/>
      <c r="H112" s="34"/>
      <c r="I112" s="4">
        <f>110*3</f>
        <v>330</v>
      </c>
      <c r="J112" s="7">
        <f t="shared" si="27"/>
        <v>0.76032</v>
      </c>
      <c r="K112" s="5">
        <v>1</v>
      </c>
      <c r="L112" s="5">
        <v>9</v>
      </c>
      <c r="M112" s="5">
        <f t="shared" si="15"/>
        <v>540</v>
      </c>
      <c r="N112" s="8">
        <f t="shared" si="24"/>
        <v>36.666666666666664</v>
      </c>
      <c r="O112" s="8">
        <f t="shared" si="16"/>
        <v>0.61111111111111116</v>
      </c>
      <c r="P112" s="9">
        <f t="shared" si="25"/>
        <v>330</v>
      </c>
      <c r="Q112" s="10">
        <v>115000</v>
      </c>
      <c r="R112" s="53">
        <f t="shared" si="26"/>
        <v>348.4848484848485</v>
      </c>
      <c r="S112" s="2" t="s">
        <v>53</v>
      </c>
    </row>
    <row r="113" spans="1:19" ht="14.25" customHeight="1" x14ac:dyDescent="0.25">
      <c r="A113" s="27" t="s">
        <v>51</v>
      </c>
      <c r="B113" s="27" t="s">
        <v>52</v>
      </c>
      <c r="C113" s="4" t="str">
        <f t="shared" si="14"/>
        <v>SP-PJ68681.8</v>
      </c>
      <c r="D113" s="51">
        <v>68</v>
      </c>
      <c r="E113" s="52">
        <v>68</v>
      </c>
      <c r="F113" s="52">
        <v>1.8</v>
      </c>
      <c r="G113" s="4"/>
      <c r="H113" s="34"/>
      <c r="I113" s="4">
        <f>110*3</f>
        <v>330</v>
      </c>
      <c r="J113" s="7">
        <f t="shared" si="27"/>
        <v>1.5259199999999999</v>
      </c>
      <c r="K113" s="5">
        <v>1</v>
      </c>
      <c r="L113" s="5">
        <v>9</v>
      </c>
      <c r="M113" s="5">
        <f t="shared" si="15"/>
        <v>540</v>
      </c>
      <c r="N113" s="8">
        <f t="shared" si="24"/>
        <v>36.666666666666664</v>
      </c>
      <c r="O113" s="8">
        <f t="shared" si="16"/>
        <v>0.61111111111111116</v>
      </c>
      <c r="P113" s="9">
        <f t="shared" si="25"/>
        <v>330</v>
      </c>
      <c r="Q113" s="10">
        <v>115000</v>
      </c>
      <c r="R113" s="53">
        <f t="shared" si="26"/>
        <v>348.4848484848485</v>
      </c>
      <c r="S113" s="2" t="s">
        <v>53</v>
      </c>
    </row>
    <row r="114" spans="1:19" ht="14.25" customHeight="1" x14ac:dyDescent="0.25">
      <c r="A114" s="27" t="s">
        <v>51</v>
      </c>
      <c r="B114" s="27" t="s">
        <v>52</v>
      </c>
      <c r="C114" s="4" t="str">
        <f t="shared" si="14"/>
        <v>SP-PJ48482.2</v>
      </c>
      <c r="D114" s="52">
        <v>48</v>
      </c>
      <c r="E114" s="52">
        <v>48</v>
      </c>
      <c r="F114" s="52">
        <v>2.2000000000000002</v>
      </c>
      <c r="G114" s="4"/>
      <c r="H114" s="34"/>
      <c r="I114" s="4">
        <f>120*3</f>
        <v>360</v>
      </c>
      <c r="J114" s="7">
        <f t="shared" si="27"/>
        <v>0.82943999999999996</v>
      </c>
      <c r="K114" s="5">
        <v>1</v>
      </c>
      <c r="L114" s="5">
        <v>9</v>
      </c>
      <c r="M114" s="5">
        <f t="shared" si="15"/>
        <v>540</v>
      </c>
      <c r="N114" s="54">
        <f t="shared" si="24"/>
        <v>40</v>
      </c>
      <c r="O114" s="8">
        <f t="shared" si="16"/>
        <v>0.66666666666666663</v>
      </c>
      <c r="P114" s="9">
        <f t="shared" si="25"/>
        <v>360</v>
      </c>
      <c r="Q114" s="10">
        <v>115000</v>
      </c>
      <c r="R114" s="8">
        <f t="shared" si="26"/>
        <v>319.44444444444446</v>
      </c>
      <c r="S114" s="2" t="s">
        <v>53</v>
      </c>
    </row>
    <row r="115" spans="1:19" ht="15" x14ac:dyDescent="0.25">
      <c r="A115" s="27" t="s">
        <v>51</v>
      </c>
      <c r="B115" s="27" t="s">
        <v>52</v>
      </c>
      <c r="C115" s="55" t="str">
        <f t="shared" si="14"/>
        <v>SP-PJ68682.2</v>
      </c>
      <c r="D115" s="52">
        <v>68</v>
      </c>
      <c r="E115" s="52">
        <v>68</v>
      </c>
      <c r="F115" s="52">
        <v>2.2000000000000002</v>
      </c>
      <c r="G115" s="55"/>
      <c r="H115" s="55"/>
      <c r="I115" s="4">
        <f>120*3</f>
        <v>360</v>
      </c>
      <c r="J115" s="7">
        <f t="shared" si="27"/>
        <v>1.6646399999999999</v>
      </c>
      <c r="K115" s="5">
        <v>1</v>
      </c>
      <c r="L115" s="5">
        <v>9</v>
      </c>
      <c r="M115" s="5">
        <f t="shared" si="15"/>
        <v>540</v>
      </c>
      <c r="S115" s="2" t="s">
        <v>53</v>
      </c>
    </row>
    <row r="116" spans="1:19" ht="15" x14ac:dyDescent="0.25">
      <c r="A116" s="27" t="s">
        <v>51</v>
      </c>
      <c r="B116" s="27" t="s">
        <v>52</v>
      </c>
      <c r="C116" s="55" t="str">
        <f t="shared" si="14"/>
        <v>SP-PJ70550.5</v>
      </c>
      <c r="D116" s="52">
        <v>70</v>
      </c>
      <c r="E116" s="52">
        <v>55</v>
      </c>
      <c r="F116" s="56">
        <v>0.5</v>
      </c>
      <c r="G116" s="55"/>
      <c r="H116" s="55"/>
      <c r="I116" s="55"/>
      <c r="J116" s="7">
        <f t="shared" si="27"/>
        <v>0</v>
      </c>
      <c r="K116" s="5">
        <v>1</v>
      </c>
      <c r="L116" s="5">
        <v>9</v>
      </c>
      <c r="M116" s="5">
        <f>L116*60</f>
        <v>540</v>
      </c>
    </row>
    <row r="117" spans="1:19" ht="15" x14ac:dyDescent="0.25">
      <c r="A117" s="27" t="s">
        <v>51</v>
      </c>
      <c r="B117" s="27" t="s">
        <v>52</v>
      </c>
      <c r="C117" s="55" t="str">
        <f t="shared" si="14"/>
        <v>SP-PJ110550.5</v>
      </c>
      <c r="D117" s="52">
        <v>110</v>
      </c>
      <c r="E117" s="52">
        <v>55</v>
      </c>
      <c r="F117" s="56">
        <v>0.5</v>
      </c>
      <c r="G117" s="55"/>
      <c r="H117" s="55"/>
      <c r="I117" s="55"/>
      <c r="J117" s="7">
        <f t="shared" si="27"/>
        <v>0</v>
      </c>
      <c r="K117" s="5">
        <v>1</v>
      </c>
      <c r="L117" s="5">
        <v>9</v>
      </c>
      <c r="M117" s="5">
        <f t="shared" si="15"/>
        <v>540</v>
      </c>
    </row>
    <row r="118" spans="1:19" ht="15" x14ac:dyDescent="0.25">
      <c r="A118" s="27" t="s">
        <v>51</v>
      </c>
      <c r="B118" s="27" t="s">
        <v>52</v>
      </c>
      <c r="C118" s="55" t="str">
        <f t="shared" si="14"/>
        <v>SP-PJ1301303.7</v>
      </c>
      <c r="D118" s="52">
        <v>130</v>
      </c>
      <c r="E118" s="52">
        <v>130</v>
      </c>
      <c r="F118" s="56">
        <v>3.7</v>
      </c>
      <c r="G118" s="55"/>
      <c r="H118" s="55"/>
      <c r="I118" s="4">
        <f>130*3</f>
        <v>390</v>
      </c>
      <c r="J118" s="7">
        <f t="shared" si="27"/>
        <v>6.5910000000000002</v>
      </c>
      <c r="K118" s="5">
        <v>1</v>
      </c>
      <c r="L118" s="5">
        <v>9</v>
      </c>
      <c r="M118" s="5">
        <f t="shared" si="15"/>
        <v>540</v>
      </c>
      <c r="S118" s="2" t="s">
        <v>53</v>
      </c>
    </row>
    <row r="119" spans="1:19" ht="15" x14ac:dyDescent="0.25">
      <c r="A119" s="57" t="s">
        <v>54</v>
      </c>
      <c r="B119" s="57" t="s">
        <v>55</v>
      </c>
      <c r="C119" s="55" t="str">
        <f t="shared" si="14"/>
        <v>SP-GL1301303.7</v>
      </c>
      <c r="D119" s="57">
        <v>130</v>
      </c>
      <c r="E119" s="57">
        <v>130</v>
      </c>
      <c r="F119" s="57">
        <v>3.7</v>
      </c>
      <c r="G119" s="55"/>
      <c r="H119" s="55"/>
      <c r="I119" s="4"/>
      <c r="J119" s="7"/>
      <c r="K119" s="5">
        <v>1</v>
      </c>
      <c r="L119" s="5">
        <v>9</v>
      </c>
      <c r="M119" s="5">
        <f t="shared" si="15"/>
        <v>540</v>
      </c>
    </row>
    <row r="120" spans="1:19" ht="15" x14ac:dyDescent="0.25">
      <c r="A120" s="57" t="s">
        <v>54</v>
      </c>
      <c r="B120" s="57" t="s">
        <v>55</v>
      </c>
      <c r="C120" s="55" t="str">
        <f t="shared" si="14"/>
        <v>SP-GL2441220.5</v>
      </c>
      <c r="D120" s="57">
        <v>244</v>
      </c>
      <c r="E120" s="57">
        <v>122</v>
      </c>
      <c r="F120" s="57">
        <v>0.5</v>
      </c>
      <c r="G120" s="55"/>
      <c r="H120" s="55"/>
      <c r="I120" s="4"/>
      <c r="J120" s="7"/>
      <c r="K120" s="5">
        <v>1</v>
      </c>
      <c r="L120" s="5">
        <v>9</v>
      </c>
      <c r="M120" s="5">
        <f t="shared" si="15"/>
        <v>540</v>
      </c>
    </row>
    <row r="121" spans="1:19" ht="15" x14ac:dyDescent="0.25">
      <c r="A121" s="57" t="s">
        <v>54</v>
      </c>
      <c r="B121" s="57" t="s">
        <v>55</v>
      </c>
      <c r="C121" s="55" t="str">
        <f t="shared" si="14"/>
        <v>SP-GL1301301.8</v>
      </c>
      <c r="D121" s="57">
        <v>130</v>
      </c>
      <c r="E121" s="57">
        <v>130</v>
      </c>
      <c r="F121" s="57">
        <v>1.8</v>
      </c>
      <c r="G121" s="55"/>
      <c r="H121" s="55"/>
      <c r="I121" s="4"/>
      <c r="J121" s="7"/>
      <c r="K121" s="5">
        <v>1</v>
      </c>
      <c r="L121" s="5">
        <v>9</v>
      </c>
      <c r="M121" s="5">
        <f t="shared" si="15"/>
        <v>540</v>
      </c>
    </row>
    <row r="122" spans="1:19" ht="15" x14ac:dyDescent="0.25">
      <c r="A122" s="57" t="s">
        <v>54</v>
      </c>
      <c r="B122" s="57" t="s">
        <v>55</v>
      </c>
      <c r="C122" s="55" t="str">
        <f t="shared" ref="C122:C164" si="28">B122&amp;D122&amp;E122&amp;F122</f>
        <v>SP-GL130653.7</v>
      </c>
      <c r="D122" s="57">
        <v>130</v>
      </c>
      <c r="E122" s="57">
        <v>65</v>
      </c>
      <c r="F122" s="57">
        <v>3.7</v>
      </c>
      <c r="G122" s="55"/>
      <c r="H122" s="55"/>
      <c r="I122" s="4"/>
      <c r="J122" s="7"/>
      <c r="K122" s="5">
        <v>1</v>
      </c>
      <c r="L122" s="5">
        <v>9</v>
      </c>
      <c r="M122" s="5">
        <f t="shared" ref="M122:M164" si="29">L122*60</f>
        <v>540</v>
      </c>
    </row>
    <row r="123" spans="1:19" ht="15" x14ac:dyDescent="0.25">
      <c r="A123" s="57" t="s">
        <v>54</v>
      </c>
      <c r="B123" s="57" t="s">
        <v>55</v>
      </c>
      <c r="C123" s="55" t="str">
        <f t="shared" si="28"/>
        <v>SP-GL130652.2</v>
      </c>
      <c r="D123" s="57">
        <v>130</v>
      </c>
      <c r="E123" s="57">
        <v>65</v>
      </c>
      <c r="F123" s="57">
        <v>2.2000000000000002</v>
      </c>
      <c r="G123" s="55"/>
      <c r="H123" s="55"/>
      <c r="I123" s="4"/>
      <c r="J123" s="7"/>
      <c r="K123" s="5">
        <v>1</v>
      </c>
      <c r="L123" s="5">
        <v>9</v>
      </c>
      <c r="M123" s="5">
        <f t="shared" si="29"/>
        <v>540</v>
      </c>
    </row>
    <row r="124" spans="1:19" ht="15" x14ac:dyDescent="0.25">
      <c r="A124" s="57" t="s">
        <v>54</v>
      </c>
      <c r="B124" s="57" t="s">
        <v>55</v>
      </c>
      <c r="C124" s="55" t="str">
        <f t="shared" si="28"/>
        <v>SP-GL48483.7</v>
      </c>
      <c r="D124" s="57">
        <v>48</v>
      </c>
      <c r="E124" s="57">
        <v>48</v>
      </c>
      <c r="F124" s="57">
        <v>3.7</v>
      </c>
      <c r="G124" s="55"/>
      <c r="H124" s="55"/>
      <c r="I124" s="4"/>
      <c r="J124" s="7"/>
      <c r="K124" s="5">
        <v>1</v>
      </c>
      <c r="L124" s="5">
        <v>9</v>
      </c>
      <c r="M124" s="5">
        <f t="shared" si="29"/>
        <v>540</v>
      </c>
    </row>
    <row r="125" spans="1:19" ht="15" x14ac:dyDescent="0.25">
      <c r="A125" s="57" t="s">
        <v>54</v>
      </c>
      <c r="B125" s="57" t="s">
        <v>55</v>
      </c>
      <c r="C125" s="55" t="str">
        <f t="shared" si="28"/>
        <v>SP-GL68683.7</v>
      </c>
      <c r="D125" s="57">
        <v>68</v>
      </c>
      <c r="E125" s="57">
        <v>68</v>
      </c>
      <c r="F125" s="57">
        <v>3.7</v>
      </c>
      <c r="G125" s="55"/>
      <c r="H125" s="55"/>
      <c r="I125" s="4"/>
      <c r="J125" s="7"/>
      <c r="K125" s="5">
        <v>1</v>
      </c>
      <c r="L125" s="5">
        <v>9</v>
      </c>
      <c r="M125" s="5">
        <f t="shared" si="29"/>
        <v>540</v>
      </c>
    </row>
    <row r="126" spans="1:19" ht="15" x14ac:dyDescent="0.25">
      <c r="A126" s="57" t="s">
        <v>54</v>
      </c>
      <c r="B126" s="57" t="s">
        <v>55</v>
      </c>
      <c r="C126" s="55" t="str">
        <f t="shared" si="28"/>
        <v>SP-GL48482.2</v>
      </c>
      <c r="D126" s="57">
        <v>48</v>
      </c>
      <c r="E126" s="57">
        <v>48</v>
      </c>
      <c r="F126" s="57">
        <v>2.2000000000000002</v>
      </c>
      <c r="G126" s="55"/>
      <c r="H126" s="55"/>
      <c r="I126" s="4"/>
      <c r="J126" s="7"/>
      <c r="K126" s="5">
        <v>1</v>
      </c>
      <c r="L126" s="5">
        <v>9</v>
      </c>
      <c r="M126" s="5">
        <f t="shared" si="29"/>
        <v>540</v>
      </c>
    </row>
    <row r="127" spans="1:19" ht="15" x14ac:dyDescent="0.25">
      <c r="A127" s="57" t="s">
        <v>54</v>
      </c>
      <c r="B127" s="57" t="s">
        <v>55</v>
      </c>
      <c r="C127" s="55" t="str">
        <f t="shared" si="28"/>
        <v>SP-GL68682.2</v>
      </c>
      <c r="D127" s="57">
        <v>68</v>
      </c>
      <c r="E127" s="57">
        <v>68</v>
      </c>
      <c r="F127" s="57">
        <v>2.2000000000000002</v>
      </c>
      <c r="G127" s="55"/>
      <c r="H127" s="55"/>
      <c r="I127" s="4"/>
      <c r="J127" s="7"/>
      <c r="K127" s="5">
        <v>1</v>
      </c>
      <c r="L127" s="5">
        <v>9</v>
      </c>
      <c r="M127" s="5">
        <f t="shared" si="29"/>
        <v>540</v>
      </c>
    </row>
  </sheetData>
  <autoFilter ref="A2:R118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4"/>
  <sheetViews>
    <sheetView zoomScale="88" zoomScaleNormal="100" workbookViewId="0">
      <pane xSplit="4" topLeftCell="S1" activePane="topRight" state="frozen"/>
      <selection pane="topRight" activeCell="AB22" sqref="AB22"/>
    </sheetView>
  </sheetViews>
  <sheetFormatPr defaultColWidth="12.625" defaultRowHeight="15" customHeight="1" x14ac:dyDescent="0.2"/>
  <cols>
    <col min="1" max="1" width="14.25" style="58" bestFit="1" customWidth="1"/>
    <col min="2" max="2" width="5.625" style="58" bestFit="1" customWidth="1"/>
    <col min="3" max="3" width="5.5" style="58" bestFit="1" customWidth="1"/>
    <col min="4" max="4" width="8.125" style="58" bestFit="1" customWidth="1"/>
    <col min="5" max="5" width="6.75" style="58" customWidth="1"/>
    <col min="6" max="6" width="8.125" style="58" customWidth="1"/>
    <col min="7" max="7" width="7.25" style="58" customWidth="1"/>
    <col min="8" max="10" width="8.75" style="58" customWidth="1"/>
    <col min="11" max="12" width="11.125" style="58" customWidth="1"/>
    <col min="13" max="13" width="11.375" style="58" customWidth="1"/>
    <col min="14" max="14" width="8.75" style="58" customWidth="1"/>
    <col min="15" max="15" width="11.625" style="58" customWidth="1"/>
    <col min="16" max="16" width="5.875" style="58" customWidth="1"/>
    <col min="17" max="17" width="3.875" style="58" customWidth="1"/>
    <col min="18" max="18" width="12.5" style="58" bestFit="1" customWidth="1"/>
    <col min="19" max="19" width="10" style="58" bestFit="1" customWidth="1"/>
    <col min="20" max="21" width="5" style="58" bestFit="1" customWidth="1"/>
    <col min="22" max="22" width="6.625" style="58" bestFit="1" customWidth="1"/>
    <col min="23" max="23" width="9.875" style="58" bestFit="1" customWidth="1"/>
    <col min="24" max="24" width="12" style="58" bestFit="1" customWidth="1"/>
    <col min="25" max="27" width="8.75" style="58" customWidth="1"/>
    <col min="28" max="16384" width="12.625" style="58"/>
  </cols>
  <sheetData>
    <row r="1" spans="1:24" ht="15" customHeight="1" x14ac:dyDescent="0.2">
      <c r="X1" s="87">
        <f>SUM(X3:X95)</f>
        <v>113000</v>
      </c>
    </row>
    <row r="2" spans="1:24" ht="14.25" customHeight="1" x14ac:dyDescent="0.25">
      <c r="A2" s="86" t="s">
        <v>0</v>
      </c>
      <c r="B2" s="86" t="s">
        <v>3</v>
      </c>
      <c r="C2" s="86" t="s">
        <v>4</v>
      </c>
      <c r="D2" s="86" t="s">
        <v>5</v>
      </c>
      <c r="E2" s="86" t="s">
        <v>6</v>
      </c>
      <c r="F2" s="86" t="s">
        <v>7</v>
      </c>
      <c r="G2" s="86" t="s">
        <v>99</v>
      </c>
      <c r="H2" s="86" t="s">
        <v>10</v>
      </c>
      <c r="I2" s="86" t="s">
        <v>11</v>
      </c>
      <c r="J2" s="86" t="s">
        <v>98</v>
      </c>
      <c r="K2" s="86" t="s">
        <v>13</v>
      </c>
      <c r="L2" s="86" t="s">
        <v>14</v>
      </c>
      <c r="M2" s="86" t="s">
        <v>15</v>
      </c>
      <c r="N2" s="86" t="s">
        <v>16</v>
      </c>
      <c r="O2" s="86" t="s">
        <v>17</v>
      </c>
      <c r="P2" s="85"/>
      <c r="R2" s="84" t="s">
        <v>97</v>
      </c>
      <c r="S2" s="84" t="s">
        <v>96</v>
      </c>
      <c r="T2" s="84" t="s">
        <v>95</v>
      </c>
      <c r="U2" s="84" t="s">
        <v>94</v>
      </c>
      <c r="V2" s="84" t="s">
        <v>93</v>
      </c>
      <c r="W2" s="84" t="s">
        <v>92</v>
      </c>
      <c r="X2" s="84" t="s">
        <v>91</v>
      </c>
    </row>
    <row r="3" spans="1:24" ht="14.25" customHeight="1" x14ac:dyDescent="0.25">
      <c r="A3" s="62" t="s">
        <v>90</v>
      </c>
      <c r="B3" s="62">
        <v>122</v>
      </c>
      <c r="C3" s="62">
        <v>244</v>
      </c>
      <c r="D3" s="62">
        <v>3.7</v>
      </c>
      <c r="E3" s="62"/>
      <c r="F3" s="64" t="s">
        <v>39</v>
      </c>
      <c r="G3" s="68">
        <v>1600</v>
      </c>
      <c r="H3" s="64">
        <v>10</v>
      </c>
      <c r="I3" s="64">
        <v>9</v>
      </c>
      <c r="J3" s="64">
        <f>I3*60</f>
        <v>540</v>
      </c>
      <c r="K3" s="61">
        <f>G3/I3</f>
        <v>177.77777777777777</v>
      </c>
      <c r="L3" s="61">
        <f>G3/J3</f>
        <v>2.9629629629629628</v>
      </c>
      <c r="M3" s="63">
        <f>G3/H3</f>
        <v>160</v>
      </c>
      <c r="N3" s="62">
        <v>115000</v>
      </c>
      <c r="O3" s="61">
        <f>N3/M3</f>
        <v>718.75</v>
      </c>
      <c r="R3" s="60"/>
      <c r="S3" s="60"/>
      <c r="T3" s="60">
        <v>10</v>
      </c>
      <c r="U3" s="60"/>
      <c r="V3" s="59">
        <f>(L3/H3)*T3*((R3*60)+S3)</f>
        <v>0</v>
      </c>
      <c r="W3" s="59">
        <f>IF((V3-U3)&gt;0,(V3-U3)*O3,0)</f>
        <v>0</v>
      </c>
      <c r="X3" s="59">
        <f>IFERROR(MROUND(W3/T3,500),0)</f>
        <v>0</v>
      </c>
    </row>
    <row r="4" spans="1:24" ht="14.25" customHeight="1" x14ac:dyDescent="0.25">
      <c r="A4" s="62" t="s">
        <v>38</v>
      </c>
      <c r="B4" s="62">
        <v>244</v>
      </c>
      <c r="C4" s="62">
        <v>122</v>
      </c>
      <c r="D4" s="62">
        <v>0.5</v>
      </c>
      <c r="E4" s="62">
        <v>3</v>
      </c>
      <c r="F4" s="64" t="s">
        <v>39</v>
      </c>
      <c r="G4" s="68">
        <v>500</v>
      </c>
      <c r="H4" s="67">
        <v>2</v>
      </c>
      <c r="I4" s="64">
        <v>9</v>
      </c>
      <c r="J4" s="64">
        <f>I4*60</f>
        <v>540</v>
      </c>
      <c r="K4" s="61">
        <f>G4/I4</f>
        <v>55.555555555555557</v>
      </c>
      <c r="L4" s="61">
        <f>G4/J4</f>
        <v>0.92592592592592593</v>
      </c>
      <c r="M4" s="63">
        <f>G4/H4</f>
        <v>250</v>
      </c>
      <c r="N4" s="62">
        <v>115000</v>
      </c>
      <c r="O4" s="61">
        <f>N4/M4</f>
        <v>460</v>
      </c>
      <c r="R4" s="60"/>
      <c r="S4" s="60"/>
      <c r="T4" s="60">
        <v>2</v>
      </c>
      <c r="U4" s="60"/>
      <c r="V4" s="59">
        <f>(L4/H4)*T4*((R4*60)+S4)</f>
        <v>0</v>
      </c>
      <c r="W4" s="59">
        <f>IF((V4-U4)&gt;0,(V4-U4)*O4,0)</f>
        <v>0</v>
      </c>
      <c r="X4" s="59">
        <f>IFERROR(MROUND(W4/T4,500),0)</f>
        <v>0</v>
      </c>
    </row>
    <row r="5" spans="1:24" ht="14.25" customHeight="1" x14ac:dyDescent="0.25">
      <c r="A5" s="62" t="s">
        <v>38</v>
      </c>
      <c r="B5" s="62">
        <v>244</v>
      </c>
      <c r="C5" s="62">
        <v>122</v>
      </c>
      <c r="D5" s="62">
        <v>0.5</v>
      </c>
      <c r="E5" s="62">
        <v>4</v>
      </c>
      <c r="F5" s="64" t="s">
        <v>39</v>
      </c>
      <c r="G5" s="68">
        <v>260</v>
      </c>
      <c r="H5" s="67">
        <v>2</v>
      </c>
      <c r="I5" s="64">
        <v>9</v>
      </c>
      <c r="J5" s="64">
        <f>I5*60</f>
        <v>540</v>
      </c>
      <c r="K5" s="61">
        <f>G5/I5</f>
        <v>28.888888888888889</v>
      </c>
      <c r="L5" s="61">
        <f>G5/J5</f>
        <v>0.48148148148148145</v>
      </c>
      <c r="M5" s="63">
        <f>G5/H5</f>
        <v>130</v>
      </c>
      <c r="N5" s="62">
        <v>115000</v>
      </c>
      <c r="O5" s="61">
        <f>N5/M5</f>
        <v>884.61538461538464</v>
      </c>
      <c r="R5" s="60"/>
      <c r="S5" s="60"/>
      <c r="T5" s="60">
        <v>2</v>
      </c>
      <c r="U5" s="60"/>
      <c r="V5" s="59">
        <f>(L5/H5)*T5*((R5*60)+S5)</f>
        <v>0</v>
      </c>
      <c r="W5" s="59">
        <f>IF((V5-U5)&gt;0,(V5-U5)*O5,0)</f>
        <v>0</v>
      </c>
      <c r="X5" s="59">
        <f>IFERROR(MROUND(W5/T5,500),0)</f>
        <v>0</v>
      </c>
    </row>
    <row r="6" spans="1:24" ht="14.25" customHeight="1" x14ac:dyDescent="0.25">
      <c r="A6" s="62" t="s">
        <v>38</v>
      </c>
      <c r="B6" s="62">
        <v>122</v>
      </c>
      <c r="C6" s="62">
        <v>244</v>
      </c>
      <c r="D6" s="62">
        <v>2.2000000000000002</v>
      </c>
      <c r="E6" s="62">
        <v>3</v>
      </c>
      <c r="F6" s="64" t="s">
        <v>39</v>
      </c>
      <c r="G6" s="68">
        <v>220</v>
      </c>
      <c r="H6" s="67">
        <v>2</v>
      </c>
      <c r="I6" s="64">
        <v>9</v>
      </c>
      <c r="J6" s="64">
        <f>I6*60</f>
        <v>540</v>
      </c>
      <c r="K6" s="61">
        <f>G6/I6</f>
        <v>24.444444444444443</v>
      </c>
      <c r="L6" s="61">
        <f>G6/J6</f>
        <v>0.40740740740740738</v>
      </c>
      <c r="M6" s="63">
        <f>G6/H6</f>
        <v>110</v>
      </c>
      <c r="N6" s="62">
        <v>115000</v>
      </c>
      <c r="O6" s="61">
        <f>N6/M6</f>
        <v>1045.4545454545455</v>
      </c>
      <c r="R6" s="60"/>
      <c r="S6" s="60"/>
      <c r="T6" s="60">
        <v>8</v>
      </c>
      <c r="U6" s="60"/>
      <c r="V6" s="59">
        <f>(L6/H6)*T6*((R6*60)+S6)</f>
        <v>0</v>
      </c>
      <c r="W6" s="59">
        <f>IF((V6-U6)&gt;0,(V6-U6)*O6,0)</f>
        <v>0</v>
      </c>
      <c r="X6" s="59">
        <f>IFERROR(MROUND(W6/T6,500),0)</f>
        <v>0</v>
      </c>
    </row>
    <row r="7" spans="1:24" ht="14.25" customHeight="1" x14ac:dyDescent="0.25">
      <c r="A7" s="62" t="s">
        <v>89</v>
      </c>
      <c r="B7" s="62">
        <v>122</v>
      </c>
      <c r="C7" s="62">
        <v>244</v>
      </c>
      <c r="D7" s="62">
        <v>3.7</v>
      </c>
      <c r="E7" s="62">
        <v>3</v>
      </c>
      <c r="F7" s="64" t="s">
        <v>39</v>
      </c>
      <c r="G7" s="68">
        <v>220</v>
      </c>
      <c r="H7" s="67">
        <v>2</v>
      </c>
      <c r="I7" s="64">
        <v>9</v>
      </c>
      <c r="J7" s="64">
        <f>I7*60</f>
        <v>540</v>
      </c>
      <c r="K7" s="61">
        <f>G7/I7</f>
        <v>24.444444444444443</v>
      </c>
      <c r="L7" s="61">
        <f>G7/J7</f>
        <v>0.40740740740740738</v>
      </c>
      <c r="M7" s="63">
        <f>G7/H7</f>
        <v>110</v>
      </c>
      <c r="N7" s="62">
        <v>115000</v>
      </c>
      <c r="O7" s="61">
        <f>N7/M7</f>
        <v>1045.4545454545455</v>
      </c>
      <c r="R7" s="60">
        <v>8</v>
      </c>
      <c r="S7" s="60"/>
      <c r="T7" s="60">
        <v>2</v>
      </c>
      <c r="U7" s="60">
        <v>162</v>
      </c>
      <c r="V7" s="59">
        <f>(L7/H7)*T7*((R7*60)+S7)</f>
        <v>195.55555555555554</v>
      </c>
      <c r="W7" s="59">
        <f>IF((V7-U7)&gt;0,(V7-U7)*O7,0)</f>
        <v>35080.80808080807</v>
      </c>
      <c r="X7" s="59">
        <f>IFERROR(MROUND(W7/T7,500),0)</f>
        <v>17500</v>
      </c>
    </row>
    <row r="8" spans="1:24" ht="14.25" customHeight="1" x14ac:dyDescent="0.25">
      <c r="A8" s="83" t="s">
        <v>88</v>
      </c>
      <c r="B8" s="83">
        <v>122</v>
      </c>
      <c r="C8" s="83">
        <v>244</v>
      </c>
      <c r="D8" s="83">
        <v>3.7</v>
      </c>
      <c r="E8" s="62">
        <v>3</v>
      </c>
      <c r="F8" s="64" t="s">
        <v>39</v>
      </c>
      <c r="G8" s="68">
        <v>207</v>
      </c>
      <c r="H8" s="67">
        <v>2</v>
      </c>
      <c r="I8" s="64">
        <v>8</v>
      </c>
      <c r="J8" s="64">
        <f>I8*60</f>
        <v>480</v>
      </c>
      <c r="K8" s="61">
        <f>G8/I8</f>
        <v>25.875</v>
      </c>
      <c r="L8" s="61">
        <f>G8/J8</f>
        <v>0.43125000000000002</v>
      </c>
      <c r="M8" s="63">
        <f>G8/H8</f>
        <v>103.5</v>
      </c>
      <c r="N8" s="62">
        <v>115000</v>
      </c>
      <c r="O8" s="61">
        <f>N8/M8</f>
        <v>1111.1111111111111</v>
      </c>
      <c r="R8" s="60"/>
      <c r="S8" s="60"/>
      <c r="T8" s="60">
        <v>2</v>
      </c>
      <c r="U8" s="60"/>
      <c r="V8" s="59">
        <f>(L8/H8)*T8*((R8*60)+S8)</f>
        <v>0</v>
      </c>
      <c r="W8" s="59">
        <f>IF((V8-U8)&gt;0,(V8-U8)*O8,0)</f>
        <v>0</v>
      </c>
      <c r="X8" s="59">
        <f>IFERROR(MROUND(W8/T8,500),0)</f>
        <v>0</v>
      </c>
    </row>
    <row r="9" spans="1:24" ht="14.25" customHeight="1" x14ac:dyDescent="0.25">
      <c r="A9" s="83" t="s">
        <v>87</v>
      </c>
      <c r="B9" s="83">
        <v>122</v>
      </c>
      <c r="C9" s="83">
        <v>244</v>
      </c>
      <c r="D9" s="83">
        <v>3.7</v>
      </c>
      <c r="E9" s="62">
        <v>3</v>
      </c>
      <c r="F9" s="64" t="s">
        <v>39</v>
      </c>
      <c r="G9" s="68">
        <v>213</v>
      </c>
      <c r="H9" s="67">
        <v>2</v>
      </c>
      <c r="I9" s="64">
        <v>8</v>
      </c>
      <c r="J9" s="64">
        <f>I9*60</f>
        <v>480</v>
      </c>
      <c r="K9" s="61">
        <f>G9/I9</f>
        <v>26.625</v>
      </c>
      <c r="L9" s="61">
        <f>G9/J9</f>
        <v>0.44374999999999998</v>
      </c>
      <c r="M9" s="63">
        <f>G9/H9</f>
        <v>106.5</v>
      </c>
      <c r="N9" s="62">
        <v>115000</v>
      </c>
      <c r="O9" s="61">
        <f>N9/M9</f>
        <v>1079.81220657277</v>
      </c>
      <c r="R9" s="60"/>
      <c r="S9" s="60"/>
      <c r="T9" s="60">
        <v>2</v>
      </c>
      <c r="U9" s="60"/>
      <c r="V9" s="59">
        <f>(L9/H9)*T9*((R9*60)+S9)</f>
        <v>0</v>
      </c>
      <c r="W9" s="59">
        <f>IF((V9-U9)&gt;0,(V9-U9)*O9,0)</f>
        <v>0</v>
      </c>
      <c r="X9" s="59">
        <f>IFERROR(MROUND(W9/T9,500),0)</f>
        <v>0</v>
      </c>
    </row>
    <row r="10" spans="1:24" ht="14.25" customHeight="1" x14ac:dyDescent="0.25">
      <c r="A10" s="62" t="s">
        <v>86</v>
      </c>
      <c r="B10" s="62">
        <v>122</v>
      </c>
      <c r="C10" s="62">
        <v>244</v>
      </c>
      <c r="D10" s="62">
        <v>3.7</v>
      </c>
      <c r="E10" s="62">
        <v>3</v>
      </c>
      <c r="F10" s="64" t="s">
        <v>40</v>
      </c>
      <c r="G10" s="68">
        <v>180</v>
      </c>
      <c r="H10" s="67">
        <v>2</v>
      </c>
      <c r="I10" s="64">
        <v>9</v>
      </c>
      <c r="J10" s="64">
        <f>I10*60</f>
        <v>540</v>
      </c>
      <c r="K10" s="61">
        <f>G10/I10</f>
        <v>20</v>
      </c>
      <c r="L10" s="61">
        <f>G10/J10</f>
        <v>0.33333333333333331</v>
      </c>
      <c r="M10" s="63">
        <f>G10/H10</f>
        <v>90</v>
      </c>
      <c r="N10" s="62">
        <v>115000</v>
      </c>
      <c r="O10" s="61">
        <f>N10/M10</f>
        <v>1277.7777777777778</v>
      </c>
      <c r="R10" s="60"/>
      <c r="S10" s="60"/>
      <c r="T10" s="60">
        <v>1</v>
      </c>
      <c r="U10" s="60"/>
      <c r="V10" s="59">
        <f>(L10/H10)*T10*((R10*60)+S10)</f>
        <v>0</v>
      </c>
      <c r="W10" s="59">
        <f>IF((V10-U10)&gt;0,(V10-U10)*O10,0)</f>
        <v>0</v>
      </c>
      <c r="X10" s="59">
        <f>IFERROR(MROUND(W10/T10,500),0)</f>
        <v>0</v>
      </c>
    </row>
    <row r="11" spans="1:24" ht="14.25" customHeight="1" x14ac:dyDescent="0.25">
      <c r="A11" s="62" t="s">
        <v>38</v>
      </c>
      <c r="B11" s="62">
        <v>122</v>
      </c>
      <c r="C11" s="62">
        <v>130</v>
      </c>
      <c r="D11" s="62">
        <v>4</v>
      </c>
      <c r="E11" s="62">
        <v>3</v>
      </c>
      <c r="F11" s="64" t="s">
        <v>39</v>
      </c>
      <c r="G11" s="68">
        <v>300</v>
      </c>
      <c r="H11" s="67">
        <v>2</v>
      </c>
      <c r="I11" s="64">
        <v>9</v>
      </c>
      <c r="J11" s="64">
        <f>I11*60</f>
        <v>540</v>
      </c>
      <c r="K11" s="61">
        <f>G11/I11</f>
        <v>33.333333333333336</v>
      </c>
      <c r="L11" s="61">
        <f>G11/J11</f>
        <v>0.55555555555555558</v>
      </c>
      <c r="M11" s="63">
        <f>G11/H11</f>
        <v>150</v>
      </c>
      <c r="N11" s="62">
        <v>115000</v>
      </c>
      <c r="O11" s="61">
        <f>N11/M11</f>
        <v>766.66666666666663</v>
      </c>
      <c r="R11" s="60"/>
      <c r="S11" s="60"/>
      <c r="T11" s="60">
        <v>8</v>
      </c>
      <c r="U11" s="60"/>
      <c r="V11" s="59">
        <f>(L11/H11)*T11*((R11*60)+S11)</f>
        <v>0</v>
      </c>
      <c r="W11" s="59">
        <f>IF((V11-U11)&gt;0,(V11-U11)*O11,0)</f>
        <v>0</v>
      </c>
      <c r="X11" s="59">
        <f>IFERROR(MROUND(W11/T11,500),0)</f>
        <v>0</v>
      </c>
    </row>
    <row r="12" spans="1:24" ht="14.25" customHeight="1" x14ac:dyDescent="0.25">
      <c r="A12" s="62" t="s">
        <v>38</v>
      </c>
      <c r="B12" s="62">
        <v>122</v>
      </c>
      <c r="C12" s="62">
        <v>130</v>
      </c>
      <c r="D12" s="62">
        <v>3.7</v>
      </c>
      <c r="E12" s="62">
        <v>3</v>
      </c>
      <c r="F12" s="64" t="s">
        <v>39</v>
      </c>
      <c r="G12" s="68">
        <v>330</v>
      </c>
      <c r="H12" s="67">
        <v>2</v>
      </c>
      <c r="I12" s="64">
        <v>9</v>
      </c>
      <c r="J12" s="64">
        <f>I12*60</f>
        <v>540</v>
      </c>
      <c r="K12" s="61">
        <f>G12/I12</f>
        <v>36.666666666666664</v>
      </c>
      <c r="L12" s="61">
        <f>G12/J12</f>
        <v>0.61111111111111116</v>
      </c>
      <c r="M12" s="63">
        <f>G12/H12</f>
        <v>165</v>
      </c>
      <c r="N12" s="62">
        <v>115000</v>
      </c>
      <c r="O12" s="61">
        <f>N12/M12</f>
        <v>696.969696969697</v>
      </c>
      <c r="R12" s="60"/>
      <c r="S12" s="60"/>
      <c r="T12" s="60">
        <v>8</v>
      </c>
      <c r="U12" s="60"/>
      <c r="V12" s="59">
        <f>(L12/H12)*T12*((R12*60)+S12)</f>
        <v>0</v>
      </c>
      <c r="W12" s="59">
        <f>IF((V12-U12)&gt;0,(V12-U12)*O12,0)</f>
        <v>0</v>
      </c>
      <c r="X12" s="59">
        <f>IFERROR(MROUND(W12/T12,500),0)</f>
        <v>0</v>
      </c>
    </row>
    <row r="13" spans="1:24" ht="14.25" customHeight="1" x14ac:dyDescent="0.25">
      <c r="A13" s="62" t="s">
        <v>38</v>
      </c>
      <c r="B13" s="62">
        <v>122</v>
      </c>
      <c r="C13" s="62">
        <v>130</v>
      </c>
      <c r="D13" s="62">
        <v>2.2000000000000002</v>
      </c>
      <c r="E13" s="62">
        <v>3</v>
      </c>
      <c r="F13" s="64" t="s">
        <v>39</v>
      </c>
      <c r="G13" s="68">
        <v>350</v>
      </c>
      <c r="H13" s="67">
        <v>2</v>
      </c>
      <c r="I13" s="64">
        <v>9</v>
      </c>
      <c r="J13" s="64">
        <f>I13*60</f>
        <v>540</v>
      </c>
      <c r="K13" s="61">
        <f>G13/I13</f>
        <v>38.888888888888886</v>
      </c>
      <c r="L13" s="61">
        <f>G13/J13</f>
        <v>0.64814814814814814</v>
      </c>
      <c r="M13" s="63">
        <f>G13/H13</f>
        <v>175</v>
      </c>
      <c r="N13" s="62">
        <v>115000</v>
      </c>
      <c r="O13" s="61">
        <f>N13/M13</f>
        <v>657.14285714285711</v>
      </c>
      <c r="R13" s="60"/>
      <c r="S13" s="60"/>
      <c r="T13" s="60">
        <v>8</v>
      </c>
      <c r="U13" s="60"/>
      <c r="V13" s="59">
        <f>(L13/H13)*T13*((R13*60)+S13)</f>
        <v>0</v>
      </c>
      <c r="W13" s="59">
        <f>IF((V13-U13)&gt;0,(V13-U13)*O13,0)</f>
        <v>0</v>
      </c>
      <c r="X13" s="59">
        <f>IFERROR(MROUND(W13/T13,500),0)</f>
        <v>0</v>
      </c>
    </row>
    <row r="14" spans="1:24" ht="14.25" customHeight="1" x14ac:dyDescent="0.25">
      <c r="A14" s="62" t="s">
        <v>38</v>
      </c>
      <c r="B14" s="62">
        <v>67</v>
      </c>
      <c r="C14" s="62">
        <v>68</v>
      </c>
      <c r="D14" s="62">
        <v>3.7</v>
      </c>
      <c r="E14" s="69" t="s">
        <v>36</v>
      </c>
      <c r="F14" s="64" t="s">
        <v>39</v>
      </c>
      <c r="G14" s="68">
        <v>400</v>
      </c>
      <c r="H14" s="67">
        <v>1</v>
      </c>
      <c r="I14" s="64">
        <v>9</v>
      </c>
      <c r="J14" s="64">
        <f>I14*60</f>
        <v>540</v>
      </c>
      <c r="K14" s="61">
        <f>G14/I14</f>
        <v>44.444444444444443</v>
      </c>
      <c r="L14" s="61">
        <f>G14/J14</f>
        <v>0.7407407407407407</v>
      </c>
      <c r="M14" s="63">
        <f>G14/H14</f>
        <v>400</v>
      </c>
      <c r="N14" s="62">
        <v>115000</v>
      </c>
      <c r="O14" s="61">
        <f>N14/M14</f>
        <v>287.5</v>
      </c>
      <c r="R14" s="60"/>
      <c r="S14" s="60"/>
      <c r="T14" s="60">
        <v>8</v>
      </c>
      <c r="U14" s="60"/>
      <c r="V14" s="59">
        <f>(L14/H14)*T14*((R14*60)+S14)</f>
        <v>0</v>
      </c>
      <c r="W14" s="59">
        <f>IF((V14-U14)&gt;0,(V14-U14)*O14,0)</f>
        <v>0</v>
      </c>
      <c r="X14" s="59">
        <f>IFERROR(MROUND(W14/T14,500),0)</f>
        <v>0</v>
      </c>
    </row>
    <row r="15" spans="1:24" ht="14.25" customHeight="1" x14ac:dyDescent="0.25">
      <c r="A15" s="62" t="s">
        <v>38</v>
      </c>
      <c r="B15" s="62">
        <v>130</v>
      </c>
      <c r="C15" s="62">
        <v>68</v>
      </c>
      <c r="D15" s="62">
        <v>3.7</v>
      </c>
      <c r="E15" s="69" t="s">
        <v>36</v>
      </c>
      <c r="F15" s="64" t="s">
        <v>39</v>
      </c>
      <c r="G15" s="68">
        <v>250</v>
      </c>
      <c r="H15" s="67">
        <v>1</v>
      </c>
      <c r="I15" s="64">
        <v>9</v>
      </c>
      <c r="J15" s="64">
        <f>I15*60</f>
        <v>540</v>
      </c>
      <c r="K15" s="61">
        <f>G15/I15</f>
        <v>27.777777777777779</v>
      </c>
      <c r="L15" s="61">
        <f>G15/J15</f>
        <v>0.46296296296296297</v>
      </c>
      <c r="M15" s="63">
        <f>G15/H15</f>
        <v>250</v>
      </c>
      <c r="N15" s="62">
        <v>115000</v>
      </c>
      <c r="O15" s="61">
        <f>N15/M15</f>
        <v>460</v>
      </c>
      <c r="R15" s="60"/>
      <c r="S15" s="60"/>
      <c r="T15" s="60">
        <v>8</v>
      </c>
      <c r="U15" s="60"/>
      <c r="V15" s="59">
        <f>(L15/H15)*T15*((R15*60)+S15)</f>
        <v>0</v>
      </c>
      <c r="W15" s="59">
        <f>IF((V15-U15)&gt;0,(V15-U15)*O15,0)</f>
        <v>0</v>
      </c>
      <c r="X15" s="59">
        <f>IFERROR(MROUND(W15/T15,500),0)</f>
        <v>0</v>
      </c>
    </row>
    <row r="16" spans="1:24" ht="14.25" customHeight="1" x14ac:dyDescent="0.25">
      <c r="A16" s="62" t="s">
        <v>38</v>
      </c>
      <c r="B16" s="62">
        <v>48</v>
      </c>
      <c r="C16" s="62">
        <v>68</v>
      </c>
      <c r="D16" s="62">
        <v>3.7</v>
      </c>
      <c r="E16" s="69" t="s">
        <v>36</v>
      </c>
      <c r="F16" s="64" t="s">
        <v>39</v>
      </c>
      <c r="G16" s="68">
        <v>450</v>
      </c>
      <c r="H16" s="67">
        <v>1</v>
      </c>
      <c r="I16" s="64">
        <v>9</v>
      </c>
      <c r="J16" s="64">
        <f>I16*60</f>
        <v>540</v>
      </c>
      <c r="K16" s="61">
        <f>G16/I16</f>
        <v>50</v>
      </c>
      <c r="L16" s="61">
        <f>G16/J16</f>
        <v>0.83333333333333337</v>
      </c>
      <c r="M16" s="63">
        <f>G16/H16</f>
        <v>450</v>
      </c>
      <c r="N16" s="62">
        <v>115000</v>
      </c>
      <c r="O16" s="61">
        <f>N16/M16</f>
        <v>255.55555555555554</v>
      </c>
      <c r="R16" s="60"/>
      <c r="S16" s="60"/>
      <c r="T16" s="60">
        <v>8</v>
      </c>
      <c r="U16" s="60"/>
      <c r="V16" s="59">
        <f>(L16/H16)*T16*((R16*60)+S16)</f>
        <v>0</v>
      </c>
      <c r="W16" s="59">
        <f>IF((V16-U16)&gt;0,(V16-U16)*O16,0)</f>
        <v>0</v>
      </c>
      <c r="X16" s="59">
        <f>IFERROR(MROUND(W16/T16,500),0)</f>
        <v>0</v>
      </c>
    </row>
    <row r="17" spans="1:24" ht="14.25" customHeight="1" x14ac:dyDescent="0.25">
      <c r="A17" s="62" t="s">
        <v>38</v>
      </c>
      <c r="B17" s="62">
        <v>244</v>
      </c>
      <c r="C17" s="62">
        <v>122</v>
      </c>
      <c r="D17" s="62">
        <v>0.5</v>
      </c>
      <c r="E17" s="69" t="s">
        <v>36</v>
      </c>
      <c r="F17" s="64" t="s">
        <v>39</v>
      </c>
      <c r="G17" s="68">
        <v>120</v>
      </c>
      <c r="H17" s="67">
        <v>1</v>
      </c>
      <c r="I17" s="64">
        <v>9</v>
      </c>
      <c r="J17" s="64">
        <f>I17*60</f>
        <v>540</v>
      </c>
      <c r="K17" s="61">
        <f>G17/I17</f>
        <v>13.333333333333334</v>
      </c>
      <c r="L17" s="61">
        <f>G17/J17</f>
        <v>0.22222222222222221</v>
      </c>
      <c r="M17" s="63">
        <f>G17/H17</f>
        <v>120</v>
      </c>
      <c r="N17" s="62">
        <v>115000</v>
      </c>
      <c r="O17" s="61">
        <f>N17/M17</f>
        <v>958.33333333333337</v>
      </c>
      <c r="R17" s="60"/>
      <c r="S17" s="60"/>
      <c r="T17" s="60">
        <v>8</v>
      </c>
      <c r="U17" s="60"/>
      <c r="V17" s="59">
        <f>(L17/H17)*T17*((R17*60)+S17)</f>
        <v>0</v>
      </c>
      <c r="W17" s="59">
        <f>IF((V17-U17)&gt;0,(V17-U17)*O17,0)</f>
        <v>0</v>
      </c>
      <c r="X17" s="59">
        <f>IFERROR(MROUND(W17/T17,500),0)</f>
        <v>0</v>
      </c>
    </row>
    <row r="18" spans="1:24" ht="14.25" customHeight="1" x14ac:dyDescent="0.25">
      <c r="A18" s="77" t="s">
        <v>85</v>
      </c>
      <c r="B18" s="62">
        <v>122</v>
      </c>
      <c r="C18" s="62">
        <v>244</v>
      </c>
      <c r="D18" s="62">
        <v>1.8</v>
      </c>
      <c r="E18" s="69">
        <v>3</v>
      </c>
      <c r="F18" s="64" t="s">
        <v>39</v>
      </c>
      <c r="G18" s="68">
        <v>280</v>
      </c>
      <c r="H18" s="67">
        <v>2</v>
      </c>
      <c r="I18" s="64">
        <v>9</v>
      </c>
      <c r="J18" s="64">
        <f>I18*60</f>
        <v>540</v>
      </c>
      <c r="K18" s="61">
        <f>G18/I18</f>
        <v>31.111111111111111</v>
      </c>
      <c r="L18" s="61">
        <f>G18/J18</f>
        <v>0.51851851851851849</v>
      </c>
      <c r="M18" s="63">
        <f>G18/H18</f>
        <v>140</v>
      </c>
      <c r="N18" s="62">
        <v>115000</v>
      </c>
      <c r="O18" s="61">
        <f>N18/M18</f>
        <v>821.42857142857144</v>
      </c>
      <c r="R18" s="60"/>
      <c r="S18" s="60"/>
      <c r="T18" s="60">
        <v>2</v>
      </c>
      <c r="U18" s="60"/>
      <c r="V18" s="59">
        <f>(L18/H18)*T18*((R18*60)+S18)</f>
        <v>0</v>
      </c>
      <c r="W18" s="59">
        <f>IF((V18-U18)&gt;0,(V18-U18)*O18,0)</f>
        <v>0</v>
      </c>
      <c r="X18" s="59">
        <f>IFERROR(MROUND(W18/T18,500),0)</f>
        <v>0</v>
      </c>
    </row>
    <row r="19" spans="1:24" ht="14.25" customHeight="1" x14ac:dyDescent="0.25">
      <c r="A19" s="66" t="s">
        <v>84</v>
      </c>
      <c r="B19" s="70"/>
      <c r="C19" s="62"/>
      <c r="D19" s="62">
        <v>3</v>
      </c>
      <c r="E19" s="69"/>
      <c r="F19" s="69" t="s">
        <v>47</v>
      </c>
      <c r="G19" s="68">
        <v>450</v>
      </c>
      <c r="H19" s="67">
        <v>2</v>
      </c>
      <c r="I19" s="64">
        <v>9</v>
      </c>
      <c r="J19" s="64">
        <f>I19*60</f>
        <v>540</v>
      </c>
      <c r="K19" s="61">
        <f>G19/I19</f>
        <v>50</v>
      </c>
      <c r="L19" s="61">
        <f>G19/J19</f>
        <v>0.83333333333333337</v>
      </c>
      <c r="M19" s="63">
        <f>G19/H19</f>
        <v>225</v>
      </c>
      <c r="N19" s="62">
        <v>115000</v>
      </c>
      <c r="O19" s="61">
        <f>N19/M19</f>
        <v>511.11111111111109</v>
      </c>
      <c r="R19" s="60"/>
      <c r="S19" s="60"/>
      <c r="T19" s="60">
        <v>8</v>
      </c>
      <c r="U19" s="60"/>
      <c r="V19" s="59">
        <f>(L19/H19)*T19*((R19*60)+S19)</f>
        <v>0</v>
      </c>
      <c r="W19" s="59">
        <f>IF((V19-U19)&gt;0,(V19-U19)*O19,0)</f>
        <v>0</v>
      </c>
      <c r="X19" s="59">
        <f>IFERROR(MROUND(W19/T19,500),0)</f>
        <v>0</v>
      </c>
    </row>
    <row r="20" spans="1:24" ht="14.25" customHeight="1" x14ac:dyDescent="0.25">
      <c r="A20" s="66" t="s">
        <v>84</v>
      </c>
      <c r="B20" s="70"/>
      <c r="C20" s="62"/>
      <c r="D20" s="62">
        <v>4</v>
      </c>
      <c r="E20" s="69"/>
      <c r="F20" s="69" t="s">
        <v>47</v>
      </c>
      <c r="G20" s="68">
        <v>450</v>
      </c>
      <c r="H20" s="67">
        <v>2</v>
      </c>
      <c r="I20" s="64">
        <v>9</v>
      </c>
      <c r="J20" s="64">
        <f>I20*60</f>
        <v>540</v>
      </c>
      <c r="K20" s="61">
        <f>G20/I20</f>
        <v>50</v>
      </c>
      <c r="L20" s="61">
        <f>G20/J20</f>
        <v>0.83333333333333337</v>
      </c>
      <c r="M20" s="63">
        <f>G20/H20</f>
        <v>225</v>
      </c>
      <c r="N20" s="62">
        <v>115000</v>
      </c>
      <c r="O20" s="61">
        <f>N20/M20</f>
        <v>511.11111111111109</v>
      </c>
      <c r="R20" s="60"/>
      <c r="S20" s="60"/>
      <c r="T20" s="60">
        <v>8</v>
      </c>
      <c r="U20" s="60"/>
      <c r="V20" s="59">
        <f>(L20/H20)*T20*((R20*60)+S20)</f>
        <v>0</v>
      </c>
      <c r="W20" s="59">
        <f>IF((V20-U20)&gt;0,(V20-U20)*O20,0)</f>
        <v>0</v>
      </c>
      <c r="X20" s="59">
        <f>IFERROR(MROUND(W20/T20,500),0)</f>
        <v>0</v>
      </c>
    </row>
    <row r="21" spans="1:24" ht="14.25" customHeight="1" x14ac:dyDescent="0.25">
      <c r="A21" s="66" t="s">
        <v>84</v>
      </c>
      <c r="B21" s="70"/>
      <c r="C21" s="62"/>
      <c r="D21" s="62">
        <v>5</v>
      </c>
      <c r="E21" s="69"/>
      <c r="F21" s="69" t="s">
        <v>47</v>
      </c>
      <c r="G21" s="68">
        <v>450</v>
      </c>
      <c r="H21" s="67">
        <v>2</v>
      </c>
      <c r="I21" s="64">
        <v>9</v>
      </c>
      <c r="J21" s="64">
        <f>I21*60</f>
        <v>540</v>
      </c>
      <c r="K21" s="61">
        <f>G21/I21</f>
        <v>50</v>
      </c>
      <c r="L21" s="61">
        <f>G21/J21</f>
        <v>0.83333333333333337</v>
      </c>
      <c r="M21" s="63">
        <f>G21/H21</f>
        <v>225</v>
      </c>
      <c r="N21" s="62">
        <v>115000</v>
      </c>
      <c r="O21" s="61">
        <f>N21/M21</f>
        <v>511.11111111111109</v>
      </c>
      <c r="R21" s="60"/>
      <c r="S21" s="60"/>
      <c r="T21" s="60">
        <v>8</v>
      </c>
      <c r="U21" s="60"/>
      <c r="V21" s="59">
        <f>(L21/H21)*T21*((R21*60)+S21)</f>
        <v>0</v>
      </c>
      <c r="W21" s="59">
        <f>IF((V21-U21)&gt;0,(V21-U21)*O21,0)</f>
        <v>0</v>
      </c>
      <c r="X21" s="59">
        <f>IFERROR(MROUND(W21/T21,500),0)</f>
        <v>0</v>
      </c>
    </row>
    <row r="22" spans="1:24" ht="14.25" customHeight="1" x14ac:dyDescent="0.25">
      <c r="A22" s="66" t="s">
        <v>84</v>
      </c>
      <c r="B22" s="70"/>
      <c r="C22" s="62"/>
      <c r="D22" s="62">
        <v>6</v>
      </c>
      <c r="E22" s="69"/>
      <c r="F22" s="69" t="s">
        <v>47</v>
      </c>
      <c r="G22" s="68">
        <v>450</v>
      </c>
      <c r="H22" s="67">
        <v>2</v>
      </c>
      <c r="I22" s="64">
        <v>9</v>
      </c>
      <c r="J22" s="64">
        <f>I22*60</f>
        <v>540</v>
      </c>
      <c r="K22" s="61">
        <f>G22/I22</f>
        <v>50</v>
      </c>
      <c r="L22" s="61">
        <f>G22/J22</f>
        <v>0.83333333333333337</v>
      </c>
      <c r="M22" s="63">
        <f>G22/H22</f>
        <v>225</v>
      </c>
      <c r="N22" s="62">
        <v>115000</v>
      </c>
      <c r="O22" s="61">
        <f>N22/M22</f>
        <v>511.11111111111109</v>
      </c>
      <c r="R22" s="60"/>
      <c r="S22" s="60"/>
      <c r="T22" s="60">
        <v>8</v>
      </c>
      <c r="U22" s="60"/>
      <c r="V22" s="59">
        <f>(L22/H22)*T22*((R22*60)+S22)</f>
        <v>0</v>
      </c>
      <c r="W22" s="59">
        <f>IF((V22-U22)&gt;0,(V22-U22)*O22,0)</f>
        <v>0</v>
      </c>
      <c r="X22" s="59">
        <f>IFERROR(MROUND(W22/T22,500),0)</f>
        <v>0</v>
      </c>
    </row>
    <row r="23" spans="1:24" ht="14.25" customHeight="1" x14ac:dyDescent="0.25">
      <c r="A23" s="66" t="s">
        <v>84</v>
      </c>
      <c r="B23" s="70"/>
      <c r="C23" s="62"/>
      <c r="D23" s="62">
        <v>8</v>
      </c>
      <c r="E23" s="69"/>
      <c r="F23" s="69" t="s">
        <v>47</v>
      </c>
      <c r="G23" s="68">
        <v>450</v>
      </c>
      <c r="H23" s="67">
        <v>2</v>
      </c>
      <c r="I23" s="64">
        <v>9</v>
      </c>
      <c r="J23" s="64">
        <f>I23*60</f>
        <v>540</v>
      </c>
      <c r="K23" s="61">
        <f>G23/I23</f>
        <v>50</v>
      </c>
      <c r="L23" s="61">
        <f>G23/J23</f>
        <v>0.83333333333333337</v>
      </c>
      <c r="M23" s="63">
        <f>G23/H23</f>
        <v>225</v>
      </c>
      <c r="N23" s="62">
        <v>115000</v>
      </c>
      <c r="O23" s="61">
        <f>N23/M23</f>
        <v>511.11111111111109</v>
      </c>
      <c r="R23" s="60"/>
      <c r="S23" s="60"/>
      <c r="T23" s="60">
        <v>8</v>
      </c>
      <c r="U23" s="60"/>
      <c r="V23" s="59">
        <f>(L23/H23)*T23*((R23*60)+S23)</f>
        <v>0</v>
      </c>
      <c r="W23" s="59">
        <f>IF((V23-U23)&gt;0,(V23-U23)*O23,0)</f>
        <v>0</v>
      </c>
      <c r="X23" s="59">
        <f>IFERROR(MROUND(W23/T23,500),0)</f>
        <v>0</v>
      </c>
    </row>
    <row r="24" spans="1:24" ht="14.25" customHeight="1" x14ac:dyDescent="0.25">
      <c r="A24" s="66" t="s">
        <v>84</v>
      </c>
      <c r="B24" s="70"/>
      <c r="C24" s="62"/>
      <c r="D24" s="62">
        <v>9</v>
      </c>
      <c r="E24" s="69"/>
      <c r="F24" s="69" t="s">
        <v>47</v>
      </c>
      <c r="G24" s="68">
        <v>450</v>
      </c>
      <c r="H24" s="67">
        <v>2</v>
      </c>
      <c r="I24" s="64">
        <v>9</v>
      </c>
      <c r="J24" s="64">
        <f>I24*60</f>
        <v>540</v>
      </c>
      <c r="K24" s="61">
        <f>G24/I24</f>
        <v>50</v>
      </c>
      <c r="L24" s="61">
        <f>G24/J24</f>
        <v>0.83333333333333337</v>
      </c>
      <c r="M24" s="63">
        <f>G24/H24</f>
        <v>225</v>
      </c>
      <c r="N24" s="62">
        <v>115000</v>
      </c>
      <c r="O24" s="61">
        <f>N24/M24</f>
        <v>511.11111111111109</v>
      </c>
      <c r="R24" s="60"/>
      <c r="S24" s="60"/>
      <c r="T24" s="60">
        <v>8</v>
      </c>
      <c r="U24" s="60"/>
      <c r="V24" s="59">
        <f>(L24/H24)*T24*((R24*60)+S24)</f>
        <v>0</v>
      </c>
      <c r="W24" s="59">
        <f>IF((V24-U24)&gt;0,(V24-U24)*O24,0)</f>
        <v>0</v>
      </c>
      <c r="X24" s="59">
        <f>IFERROR(MROUND(W24/T24,500),0)</f>
        <v>0</v>
      </c>
    </row>
    <row r="25" spans="1:24" ht="14.25" customHeight="1" x14ac:dyDescent="0.25">
      <c r="A25" s="66" t="s">
        <v>84</v>
      </c>
      <c r="B25" s="70"/>
      <c r="C25" s="62"/>
      <c r="D25" s="62">
        <v>12</v>
      </c>
      <c r="E25" s="69"/>
      <c r="F25" s="69" t="s">
        <v>47</v>
      </c>
      <c r="G25" s="68">
        <v>450</v>
      </c>
      <c r="H25" s="67">
        <v>2</v>
      </c>
      <c r="I25" s="64">
        <v>9</v>
      </c>
      <c r="J25" s="64">
        <f>I25*60</f>
        <v>540</v>
      </c>
      <c r="K25" s="61">
        <f>G25/I25</f>
        <v>50</v>
      </c>
      <c r="L25" s="61">
        <f>G25/J25</f>
        <v>0.83333333333333337</v>
      </c>
      <c r="M25" s="63">
        <f>G25/H25</f>
        <v>225</v>
      </c>
      <c r="N25" s="62">
        <v>115000</v>
      </c>
      <c r="O25" s="61">
        <f>N25/M25</f>
        <v>511.11111111111109</v>
      </c>
      <c r="R25" s="60"/>
      <c r="S25" s="60"/>
      <c r="T25" s="60">
        <v>8</v>
      </c>
      <c r="U25" s="60"/>
      <c r="V25" s="59">
        <f>(L25/H25)*T25*((R25*60)+S25)</f>
        <v>0</v>
      </c>
      <c r="W25" s="59">
        <f>IF((V25-U25)&gt;0,(V25-U25)*O25,0)</f>
        <v>0</v>
      </c>
      <c r="X25" s="59">
        <f>IFERROR(MROUND(W25/T25,500),0)</f>
        <v>0</v>
      </c>
    </row>
    <row r="26" spans="1:24" ht="14.25" customHeight="1" x14ac:dyDescent="0.25">
      <c r="A26" s="66" t="s">
        <v>84</v>
      </c>
      <c r="B26" s="70"/>
      <c r="C26" s="62"/>
      <c r="D26" s="62">
        <v>15</v>
      </c>
      <c r="E26" s="69"/>
      <c r="F26" s="69" t="s">
        <v>47</v>
      </c>
      <c r="G26" s="68">
        <v>400</v>
      </c>
      <c r="H26" s="67">
        <v>2</v>
      </c>
      <c r="I26" s="64">
        <v>9</v>
      </c>
      <c r="J26" s="64">
        <f>I26*60</f>
        <v>540</v>
      </c>
      <c r="K26" s="61">
        <f>G26/I26</f>
        <v>44.444444444444443</v>
      </c>
      <c r="L26" s="61">
        <f>G26/J26</f>
        <v>0.7407407407407407</v>
      </c>
      <c r="M26" s="63">
        <f>G26/H26</f>
        <v>200</v>
      </c>
      <c r="N26" s="62">
        <v>115000</v>
      </c>
      <c r="O26" s="61">
        <f>N26/M26</f>
        <v>575</v>
      </c>
      <c r="R26" s="60"/>
      <c r="S26" s="60"/>
      <c r="T26" s="60">
        <v>8</v>
      </c>
      <c r="U26" s="60"/>
      <c r="V26" s="59">
        <f>(L26/H26)*T26*((R26*60)+S26)</f>
        <v>0</v>
      </c>
      <c r="W26" s="59">
        <f>IF((V26-U26)&gt;0,(V26-U26)*O26,0)</f>
        <v>0</v>
      </c>
      <c r="X26" s="59">
        <f>IFERROR(MROUND(W26/T26,500),0)</f>
        <v>0</v>
      </c>
    </row>
    <row r="27" spans="1:24" ht="14.25" customHeight="1" x14ac:dyDescent="0.25">
      <c r="A27" s="66" t="s">
        <v>84</v>
      </c>
      <c r="B27" s="70"/>
      <c r="C27" s="62"/>
      <c r="D27" s="62">
        <v>18</v>
      </c>
      <c r="E27" s="69"/>
      <c r="F27" s="69" t="s">
        <v>47</v>
      </c>
      <c r="G27" s="68">
        <v>400</v>
      </c>
      <c r="H27" s="67">
        <v>2</v>
      </c>
      <c r="I27" s="64">
        <v>9</v>
      </c>
      <c r="J27" s="64">
        <f>I27*60</f>
        <v>540</v>
      </c>
      <c r="K27" s="61">
        <f>G27/I27</f>
        <v>44.444444444444443</v>
      </c>
      <c r="L27" s="61">
        <f>G27/J27</f>
        <v>0.7407407407407407</v>
      </c>
      <c r="M27" s="63">
        <f>G27/H27</f>
        <v>200</v>
      </c>
      <c r="N27" s="62">
        <v>115000</v>
      </c>
      <c r="O27" s="61">
        <f>N27/M27</f>
        <v>575</v>
      </c>
      <c r="R27" s="60"/>
      <c r="S27" s="60"/>
      <c r="T27" s="60">
        <v>8</v>
      </c>
      <c r="U27" s="60"/>
      <c r="V27" s="59">
        <f>(L27/H27)*T27*((R27*60)+S27)</f>
        <v>0</v>
      </c>
      <c r="W27" s="59">
        <f>IF((V27-U27)&gt;0,(V27-U27)*O27,0)</f>
        <v>0</v>
      </c>
      <c r="X27" s="59">
        <f>IFERROR(MROUND(W27/T27,500),0)</f>
        <v>0</v>
      </c>
    </row>
    <row r="28" spans="1:24" ht="14.25" customHeight="1" x14ac:dyDescent="0.25">
      <c r="A28" s="66" t="s">
        <v>84</v>
      </c>
      <c r="B28" s="70"/>
      <c r="C28" s="62"/>
      <c r="D28" s="62">
        <v>3</v>
      </c>
      <c r="E28" s="69"/>
      <c r="F28" s="69" t="s">
        <v>58</v>
      </c>
      <c r="G28" s="68">
        <v>550</v>
      </c>
      <c r="H28" s="67">
        <v>2</v>
      </c>
      <c r="I28" s="64">
        <v>9</v>
      </c>
      <c r="J28" s="64">
        <f>I28*60</f>
        <v>540</v>
      </c>
      <c r="K28" s="61">
        <f>G28/I28</f>
        <v>61.111111111111114</v>
      </c>
      <c r="L28" s="61">
        <f>G28/J28</f>
        <v>1.0185185185185186</v>
      </c>
      <c r="M28" s="63">
        <f>G28/H28</f>
        <v>275</v>
      </c>
      <c r="N28" s="62">
        <v>115000</v>
      </c>
      <c r="O28" s="61">
        <f>N28/M28</f>
        <v>418.18181818181819</v>
      </c>
      <c r="R28" s="60"/>
      <c r="S28" s="60"/>
      <c r="T28" s="60">
        <v>8</v>
      </c>
      <c r="U28" s="60"/>
      <c r="V28" s="59">
        <f>(L28/H28)*T28*((R28*60)+S28)</f>
        <v>0</v>
      </c>
      <c r="W28" s="59">
        <f>IF((V28-U28)&gt;0,(V28-U28)*O28,0)</f>
        <v>0</v>
      </c>
      <c r="X28" s="59">
        <f>IFERROR(MROUND(W28/T28,500),0)</f>
        <v>0</v>
      </c>
    </row>
    <row r="29" spans="1:24" ht="14.25" customHeight="1" x14ac:dyDescent="0.25">
      <c r="A29" s="66" t="s">
        <v>84</v>
      </c>
      <c r="B29" s="70"/>
      <c r="C29" s="62"/>
      <c r="D29" s="62">
        <v>4</v>
      </c>
      <c r="E29" s="69"/>
      <c r="F29" s="69" t="s">
        <v>58</v>
      </c>
      <c r="G29" s="68">
        <v>550</v>
      </c>
      <c r="H29" s="67">
        <v>2</v>
      </c>
      <c r="I29" s="64">
        <v>9</v>
      </c>
      <c r="J29" s="64">
        <f>I29*60</f>
        <v>540</v>
      </c>
      <c r="K29" s="61">
        <f>G29/I29</f>
        <v>61.111111111111114</v>
      </c>
      <c r="L29" s="61">
        <f>G29/J29</f>
        <v>1.0185185185185186</v>
      </c>
      <c r="M29" s="63">
        <f>G29/H29</f>
        <v>275</v>
      </c>
      <c r="N29" s="62">
        <v>115000</v>
      </c>
      <c r="O29" s="61">
        <f>N29/M29</f>
        <v>418.18181818181819</v>
      </c>
      <c r="R29" s="60"/>
      <c r="S29" s="60"/>
      <c r="T29" s="60">
        <v>8</v>
      </c>
      <c r="U29" s="60"/>
      <c r="V29" s="59">
        <f>(L29/H29)*T29*((R29*60)+S29)</f>
        <v>0</v>
      </c>
      <c r="W29" s="59">
        <f>IF((V29-U29)&gt;0,(V29-U29)*O29,0)</f>
        <v>0</v>
      </c>
      <c r="X29" s="59">
        <f>IFERROR(MROUND(W29/T29,500),0)</f>
        <v>0</v>
      </c>
    </row>
    <row r="30" spans="1:24" ht="14.25" customHeight="1" x14ac:dyDescent="0.25">
      <c r="A30" s="66" t="s">
        <v>84</v>
      </c>
      <c r="B30" s="70"/>
      <c r="C30" s="62"/>
      <c r="D30" s="62">
        <v>5</v>
      </c>
      <c r="E30" s="69"/>
      <c r="F30" s="69" t="s">
        <v>58</v>
      </c>
      <c r="G30" s="68">
        <v>550</v>
      </c>
      <c r="H30" s="67">
        <v>2</v>
      </c>
      <c r="I30" s="64">
        <v>9</v>
      </c>
      <c r="J30" s="64">
        <f>I30*60</f>
        <v>540</v>
      </c>
      <c r="K30" s="61">
        <f>G30/I30</f>
        <v>61.111111111111114</v>
      </c>
      <c r="L30" s="61">
        <f>G30/J30</f>
        <v>1.0185185185185186</v>
      </c>
      <c r="M30" s="63">
        <f>G30/H30</f>
        <v>275</v>
      </c>
      <c r="N30" s="62">
        <v>115000</v>
      </c>
      <c r="O30" s="61">
        <f>N30/M30</f>
        <v>418.18181818181819</v>
      </c>
      <c r="R30" s="60"/>
      <c r="S30" s="60"/>
      <c r="T30" s="60">
        <v>8</v>
      </c>
      <c r="U30" s="60"/>
      <c r="V30" s="59">
        <f>(L30/H30)*T30*((R30*60)+S30)</f>
        <v>0</v>
      </c>
      <c r="W30" s="59">
        <f>IF((V30-U30)&gt;0,(V30-U30)*O30,0)</f>
        <v>0</v>
      </c>
      <c r="X30" s="59">
        <f>IFERROR(MROUND(W30/T30,500),0)</f>
        <v>0</v>
      </c>
    </row>
    <row r="31" spans="1:24" ht="14.25" customHeight="1" x14ac:dyDescent="0.25">
      <c r="A31" s="66" t="s">
        <v>84</v>
      </c>
      <c r="B31" s="70"/>
      <c r="C31" s="62"/>
      <c r="D31" s="62">
        <v>6</v>
      </c>
      <c r="E31" s="69"/>
      <c r="F31" s="69" t="s">
        <v>58</v>
      </c>
      <c r="G31" s="68">
        <v>550</v>
      </c>
      <c r="H31" s="67">
        <v>2</v>
      </c>
      <c r="I31" s="64">
        <v>9</v>
      </c>
      <c r="J31" s="64">
        <f>I31*60</f>
        <v>540</v>
      </c>
      <c r="K31" s="61">
        <f>G31/I31</f>
        <v>61.111111111111114</v>
      </c>
      <c r="L31" s="61">
        <f>G31/J31</f>
        <v>1.0185185185185186</v>
      </c>
      <c r="M31" s="63">
        <f>G31/H31</f>
        <v>275</v>
      </c>
      <c r="N31" s="62">
        <v>115000</v>
      </c>
      <c r="O31" s="61">
        <f>N31/M31</f>
        <v>418.18181818181819</v>
      </c>
      <c r="R31" s="60"/>
      <c r="S31" s="60"/>
      <c r="T31" s="60">
        <v>8</v>
      </c>
      <c r="U31" s="60"/>
      <c r="V31" s="59">
        <f>(L31/H31)*T31*((R31*60)+S31)</f>
        <v>0</v>
      </c>
      <c r="W31" s="59">
        <f>IF((V31-U31)&gt;0,(V31-U31)*O31,0)</f>
        <v>0</v>
      </c>
      <c r="X31" s="59">
        <f>IFERROR(MROUND(W31/T31,500),0)</f>
        <v>0</v>
      </c>
    </row>
    <row r="32" spans="1:24" ht="14.25" customHeight="1" x14ac:dyDescent="0.25">
      <c r="A32" s="66" t="s">
        <v>84</v>
      </c>
      <c r="B32" s="70"/>
      <c r="C32" s="62"/>
      <c r="D32" s="62">
        <v>8</v>
      </c>
      <c r="E32" s="69"/>
      <c r="F32" s="69" t="s">
        <v>58</v>
      </c>
      <c r="G32" s="68">
        <v>550</v>
      </c>
      <c r="H32" s="67">
        <v>2</v>
      </c>
      <c r="I32" s="64">
        <v>9</v>
      </c>
      <c r="J32" s="64">
        <f>I32*60</f>
        <v>540</v>
      </c>
      <c r="K32" s="61">
        <f>G32/I32</f>
        <v>61.111111111111114</v>
      </c>
      <c r="L32" s="61">
        <f>G32/J32</f>
        <v>1.0185185185185186</v>
      </c>
      <c r="M32" s="63">
        <f>G32/H32</f>
        <v>275</v>
      </c>
      <c r="N32" s="62">
        <v>115000</v>
      </c>
      <c r="O32" s="61">
        <f>N32/M32</f>
        <v>418.18181818181819</v>
      </c>
      <c r="R32" s="60"/>
      <c r="S32" s="60"/>
      <c r="T32" s="60">
        <v>8</v>
      </c>
      <c r="U32" s="60"/>
      <c r="V32" s="59">
        <f>(L32/H32)*T32*((R32*60)+S32)</f>
        <v>0</v>
      </c>
      <c r="W32" s="59">
        <f>IF((V32-U32)&gt;0,(V32-U32)*O32,0)</f>
        <v>0</v>
      </c>
      <c r="X32" s="59">
        <f>IFERROR(MROUND(W32/T32,500),0)</f>
        <v>0</v>
      </c>
    </row>
    <row r="33" spans="1:24" ht="14.25" customHeight="1" x14ac:dyDescent="0.25">
      <c r="A33" s="66" t="s">
        <v>84</v>
      </c>
      <c r="B33" s="70"/>
      <c r="C33" s="62"/>
      <c r="D33" s="62">
        <v>9</v>
      </c>
      <c r="E33" s="69"/>
      <c r="F33" s="69" t="s">
        <v>58</v>
      </c>
      <c r="G33" s="68">
        <v>550</v>
      </c>
      <c r="H33" s="67">
        <v>2</v>
      </c>
      <c r="I33" s="64">
        <v>9</v>
      </c>
      <c r="J33" s="64">
        <f>I33*60</f>
        <v>540</v>
      </c>
      <c r="K33" s="61">
        <f>G33/I33</f>
        <v>61.111111111111114</v>
      </c>
      <c r="L33" s="61">
        <f>G33/J33</f>
        <v>1.0185185185185186</v>
      </c>
      <c r="M33" s="63">
        <f>G33/H33</f>
        <v>275</v>
      </c>
      <c r="N33" s="62">
        <v>115000</v>
      </c>
      <c r="O33" s="61">
        <f>N33/M33</f>
        <v>418.18181818181819</v>
      </c>
      <c r="R33" s="60"/>
      <c r="S33" s="60"/>
      <c r="T33" s="60">
        <v>8</v>
      </c>
      <c r="U33" s="60"/>
      <c r="V33" s="59">
        <f>(L33/H33)*T33*((R33*60)+S33)</f>
        <v>0</v>
      </c>
      <c r="W33" s="59">
        <f>IF((V33-U33)&gt;0,(V33-U33)*O33,0)</f>
        <v>0</v>
      </c>
      <c r="X33" s="59">
        <f>IFERROR(MROUND(W33/T33,500),0)</f>
        <v>0</v>
      </c>
    </row>
    <row r="34" spans="1:24" ht="14.25" customHeight="1" x14ac:dyDescent="0.25">
      <c r="A34" s="66" t="s">
        <v>84</v>
      </c>
      <c r="B34" s="70"/>
      <c r="C34" s="62"/>
      <c r="D34" s="62">
        <v>12</v>
      </c>
      <c r="E34" s="69"/>
      <c r="F34" s="69" t="s">
        <v>58</v>
      </c>
      <c r="G34" s="68">
        <v>550</v>
      </c>
      <c r="H34" s="67">
        <v>2</v>
      </c>
      <c r="I34" s="64">
        <v>9</v>
      </c>
      <c r="J34" s="64">
        <f>I34*60</f>
        <v>540</v>
      </c>
      <c r="K34" s="61">
        <f>G34/I34</f>
        <v>61.111111111111114</v>
      </c>
      <c r="L34" s="61">
        <f>G34/J34</f>
        <v>1.0185185185185186</v>
      </c>
      <c r="M34" s="63">
        <f>G34/H34</f>
        <v>275</v>
      </c>
      <c r="N34" s="62">
        <v>115000</v>
      </c>
      <c r="O34" s="61">
        <f>N34/M34</f>
        <v>418.18181818181819</v>
      </c>
      <c r="R34" s="60"/>
      <c r="S34" s="60"/>
      <c r="T34" s="60">
        <v>8</v>
      </c>
      <c r="U34" s="60"/>
      <c r="V34" s="59">
        <f>(L34/H34)*T34*((R34*60)+S34)</f>
        <v>0</v>
      </c>
      <c r="W34" s="59">
        <f>IF((V34-U34)&gt;0,(V34-U34)*O34,0)</f>
        <v>0</v>
      </c>
      <c r="X34" s="59">
        <f>IFERROR(MROUND(W34/T34,500),0)</f>
        <v>0</v>
      </c>
    </row>
    <row r="35" spans="1:24" ht="14.25" customHeight="1" x14ac:dyDescent="0.25">
      <c r="A35" s="66" t="s">
        <v>84</v>
      </c>
      <c r="B35" s="62"/>
      <c r="C35" s="62"/>
      <c r="D35" s="62">
        <v>15</v>
      </c>
      <c r="E35" s="69"/>
      <c r="F35" s="69" t="s">
        <v>58</v>
      </c>
      <c r="G35" s="68">
        <v>500</v>
      </c>
      <c r="H35" s="67">
        <v>2</v>
      </c>
      <c r="I35" s="64">
        <v>9</v>
      </c>
      <c r="J35" s="64">
        <f>I35*60</f>
        <v>540</v>
      </c>
      <c r="K35" s="61">
        <f>G35/I35</f>
        <v>55.555555555555557</v>
      </c>
      <c r="L35" s="61">
        <f>G35/J35</f>
        <v>0.92592592592592593</v>
      </c>
      <c r="M35" s="63">
        <f>G35/H35</f>
        <v>250</v>
      </c>
      <c r="N35" s="62">
        <v>115000</v>
      </c>
      <c r="O35" s="61">
        <f>N35/M35</f>
        <v>460</v>
      </c>
      <c r="R35" s="60"/>
      <c r="S35" s="60"/>
      <c r="T35" s="60">
        <v>8</v>
      </c>
      <c r="U35" s="60"/>
      <c r="V35" s="59">
        <f>(L35/H35)*T35*((R35*60)+S35)</f>
        <v>0</v>
      </c>
      <c r="W35" s="59">
        <f>IF((V35-U35)&gt;0,(V35-U35)*O35,0)</f>
        <v>0</v>
      </c>
      <c r="X35" s="59">
        <f>IFERROR(MROUND(W35/T35,500),0)</f>
        <v>0</v>
      </c>
    </row>
    <row r="36" spans="1:24" ht="14.25" customHeight="1" x14ac:dyDescent="0.25">
      <c r="A36" s="66" t="s">
        <v>84</v>
      </c>
      <c r="B36" s="62"/>
      <c r="C36" s="62"/>
      <c r="D36" s="62">
        <v>18</v>
      </c>
      <c r="E36" s="69"/>
      <c r="F36" s="69" t="s">
        <v>58</v>
      </c>
      <c r="G36" s="68">
        <v>500</v>
      </c>
      <c r="H36" s="67">
        <v>2</v>
      </c>
      <c r="I36" s="64">
        <v>9</v>
      </c>
      <c r="J36" s="64">
        <f>I36*60</f>
        <v>540</v>
      </c>
      <c r="K36" s="61">
        <f>G36/I36</f>
        <v>55.555555555555557</v>
      </c>
      <c r="L36" s="61">
        <f>G36/J36</f>
        <v>0.92592592592592593</v>
      </c>
      <c r="M36" s="63">
        <f>G36/H36</f>
        <v>250</v>
      </c>
      <c r="N36" s="62">
        <v>115000</v>
      </c>
      <c r="O36" s="61">
        <f>N36/M36</f>
        <v>460</v>
      </c>
      <c r="R36" s="60"/>
      <c r="S36" s="60"/>
      <c r="T36" s="60">
        <v>8</v>
      </c>
      <c r="U36" s="60"/>
      <c r="V36" s="59">
        <f>(L36/H36)*T36*((R36*60)+S36)</f>
        <v>0</v>
      </c>
      <c r="W36" s="59">
        <f>IF((V36-U36)&gt;0,(V36-U36)*O36,0)</f>
        <v>0</v>
      </c>
      <c r="X36" s="59">
        <f>IFERROR(MROUND(W36/T36,500),0)</f>
        <v>0</v>
      </c>
    </row>
    <row r="37" spans="1:24" ht="14.25" customHeight="1" x14ac:dyDescent="0.25">
      <c r="A37" s="66" t="s">
        <v>83</v>
      </c>
      <c r="B37" s="62"/>
      <c r="C37" s="62"/>
      <c r="D37" s="62">
        <v>5</v>
      </c>
      <c r="E37" s="69"/>
      <c r="F37" s="62"/>
      <c r="G37" s="68">
        <v>2000</v>
      </c>
      <c r="H37" s="64">
        <v>2</v>
      </c>
      <c r="I37" s="64">
        <v>9</v>
      </c>
      <c r="J37" s="64">
        <f>I37*60</f>
        <v>540</v>
      </c>
      <c r="K37" s="61">
        <f>G37/I37</f>
        <v>222.22222222222223</v>
      </c>
      <c r="L37" s="61">
        <f>G37/J37</f>
        <v>3.7037037037037037</v>
      </c>
      <c r="M37" s="63">
        <f>G37/H37</f>
        <v>1000</v>
      </c>
      <c r="N37" s="62">
        <v>115000</v>
      </c>
      <c r="O37" s="61">
        <f>N37/M37</f>
        <v>115</v>
      </c>
      <c r="R37" s="60">
        <v>6</v>
      </c>
      <c r="S37" s="60"/>
      <c r="T37" s="60">
        <v>4</v>
      </c>
      <c r="U37" s="60">
        <f>1300+1231</f>
        <v>2531</v>
      </c>
      <c r="V37" s="59">
        <f>(L37/H37)*T37*((R37*60)+S37)</f>
        <v>2666.6666666666665</v>
      </c>
      <c r="W37" s="59">
        <f>IF((V37-U37)&gt;0,(V37-U37)*O37,0)</f>
        <v>15601.66666666665</v>
      </c>
      <c r="X37" s="59">
        <f>IFERROR(MROUND(W37/T37,500),0)</f>
        <v>4000</v>
      </c>
    </row>
    <row r="38" spans="1:24" ht="14.25" customHeight="1" x14ac:dyDescent="0.25">
      <c r="A38" s="66" t="s">
        <v>83</v>
      </c>
      <c r="B38" s="62"/>
      <c r="C38" s="62"/>
      <c r="D38" s="62">
        <v>6</v>
      </c>
      <c r="E38" s="69"/>
      <c r="F38" s="62"/>
      <c r="G38" s="68">
        <v>800</v>
      </c>
      <c r="H38" s="64">
        <v>2</v>
      </c>
      <c r="I38" s="64">
        <v>9</v>
      </c>
      <c r="J38" s="64">
        <f>I38*60</f>
        <v>540</v>
      </c>
      <c r="K38" s="61">
        <f>G38/I38</f>
        <v>88.888888888888886</v>
      </c>
      <c r="L38" s="61">
        <f>G38/J38</f>
        <v>1.4814814814814814</v>
      </c>
      <c r="M38" s="63">
        <f>G38/H38</f>
        <v>400</v>
      </c>
      <c r="N38" s="62">
        <v>115000</v>
      </c>
      <c r="O38" s="61">
        <f>N38/M38</f>
        <v>287.5</v>
      </c>
      <c r="R38" s="60"/>
      <c r="S38" s="60"/>
      <c r="T38" s="60">
        <v>4</v>
      </c>
      <c r="U38" s="60"/>
      <c r="V38" s="59">
        <f>(L38/H38)*T38*((R38*60)+S38)</f>
        <v>0</v>
      </c>
      <c r="W38" s="59">
        <f>IF((V38-U38)&gt;0,(V38-U38)*O38,0)</f>
        <v>0</v>
      </c>
      <c r="X38" s="59">
        <f>IFERROR(MROUND(W38/T38,500),0)</f>
        <v>0</v>
      </c>
    </row>
    <row r="39" spans="1:24" ht="14.25" customHeight="1" x14ac:dyDescent="0.25">
      <c r="A39" s="66" t="s">
        <v>83</v>
      </c>
      <c r="B39" s="62"/>
      <c r="C39" s="62"/>
      <c r="D39" s="62">
        <v>8</v>
      </c>
      <c r="E39" s="69"/>
      <c r="F39" s="62"/>
      <c r="G39" s="68">
        <v>800</v>
      </c>
      <c r="H39" s="64">
        <v>2</v>
      </c>
      <c r="I39" s="64">
        <v>9</v>
      </c>
      <c r="J39" s="64">
        <f>I39*60</f>
        <v>540</v>
      </c>
      <c r="K39" s="61">
        <f>G39/I39</f>
        <v>88.888888888888886</v>
      </c>
      <c r="L39" s="61">
        <f>G39/J39</f>
        <v>1.4814814814814814</v>
      </c>
      <c r="M39" s="63">
        <f>G39/H39</f>
        <v>400</v>
      </c>
      <c r="N39" s="62">
        <v>115000</v>
      </c>
      <c r="O39" s="61">
        <f>N39/M39</f>
        <v>287.5</v>
      </c>
      <c r="R39" s="60"/>
      <c r="S39" s="60"/>
      <c r="T39" s="60">
        <v>4</v>
      </c>
      <c r="U39" s="60"/>
      <c r="V39" s="59">
        <f>(L39/H39)*T39*((R39*60)+S39)</f>
        <v>0</v>
      </c>
      <c r="W39" s="59">
        <f>IF((V39-U39)&gt;0,(V39-U39)*O39,0)</f>
        <v>0</v>
      </c>
      <c r="X39" s="59">
        <f>IFERROR(MROUND(W39/T39,500),0)</f>
        <v>0</v>
      </c>
    </row>
    <row r="40" spans="1:24" ht="14.25" customHeight="1" x14ac:dyDescent="0.25">
      <c r="A40" s="66" t="s">
        <v>83</v>
      </c>
      <c r="B40" s="62"/>
      <c r="C40" s="62"/>
      <c r="D40" s="62">
        <v>9</v>
      </c>
      <c r="E40" s="69"/>
      <c r="F40" s="62"/>
      <c r="G40" s="68">
        <v>800</v>
      </c>
      <c r="H40" s="64">
        <v>2</v>
      </c>
      <c r="I40" s="64">
        <v>9</v>
      </c>
      <c r="J40" s="64">
        <f>I40*60</f>
        <v>540</v>
      </c>
      <c r="K40" s="61">
        <f>G40/I40</f>
        <v>88.888888888888886</v>
      </c>
      <c r="L40" s="61">
        <f>G40/J40</f>
        <v>1.4814814814814814</v>
      </c>
      <c r="M40" s="63">
        <f>G40/H40</f>
        <v>400</v>
      </c>
      <c r="N40" s="62">
        <v>115000</v>
      </c>
      <c r="O40" s="61">
        <f>N40/M40</f>
        <v>287.5</v>
      </c>
      <c r="R40" s="60">
        <v>4</v>
      </c>
      <c r="S40" s="60"/>
      <c r="T40" s="60">
        <v>4</v>
      </c>
      <c r="U40" s="60">
        <f>20+80</f>
        <v>100</v>
      </c>
      <c r="V40" s="59">
        <f>(L40/H40)*T40*((R40*60)+S40)</f>
        <v>711.11111111111109</v>
      </c>
      <c r="W40" s="59">
        <f>IF((V40-U40)&gt;0,(V40-U40)*O40,0)</f>
        <v>175694.44444444444</v>
      </c>
      <c r="X40" s="59">
        <f>IFERROR(MROUND(W40/T40,500),0)</f>
        <v>44000</v>
      </c>
    </row>
    <row r="41" spans="1:24" ht="14.25" customHeight="1" x14ac:dyDescent="0.25">
      <c r="A41" s="66" t="s">
        <v>83</v>
      </c>
      <c r="B41" s="62"/>
      <c r="C41" s="62"/>
      <c r="D41" s="62">
        <v>12</v>
      </c>
      <c r="E41" s="69"/>
      <c r="F41" s="62"/>
      <c r="G41" s="68">
        <v>800</v>
      </c>
      <c r="H41" s="64">
        <v>2</v>
      </c>
      <c r="I41" s="64">
        <v>9</v>
      </c>
      <c r="J41" s="64">
        <f>I41*60</f>
        <v>540</v>
      </c>
      <c r="K41" s="61">
        <f>G41/I41</f>
        <v>88.888888888888886</v>
      </c>
      <c r="L41" s="61">
        <f>G41/J41</f>
        <v>1.4814814814814814</v>
      </c>
      <c r="M41" s="63">
        <f>G41/H41</f>
        <v>400</v>
      </c>
      <c r="N41" s="62">
        <v>115000</v>
      </c>
      <c r="O41" s="61">
        <f>N41/M41</f>
        <v>287.5</v>
      </c>
      <c r="R41" s="60"/>
      <c r="S41" s="60"/>
      <c r="T41" s="60">
        <v>4</v>
      </c>
      <c r="U41" s="60"/>
      <c r="V41" s="59">
        <f>(L41/H41)*T41*((R41*60)+S41)</f>
        <v>0</v>
      </c>
      <c r="W41" s="59">
        <f>IF((V41-U41)&gt;0,(V41-U41)*O41,0)</f>
        <v>0</v>
      </c>
      <c r="X41" s="59">
        <f>IFERROR(MROUND(W41/T41,500),0)</f>
        <v>0</v>
      </c>
    </row>
    <row r="42" spans="1:24" ht="14.25" customHeight="1" x14ac:dyDescent="0.25">
      <c r="A42" s="66" t="s">
        <v>83</v>
      </c>
      <c r="B42" s="62"/>
      <c r="C42" s="62"/>
      <c r="D42" s="62">
        <v>15</v>
      </c>
      <c r="E42" s="69"/>
      <c r="F42" s="62"/>
      <c r="G42" s="68">
        <v>600</v>
      </c>
      <c r="H42" s="64">
        <v>2</v>
      </c>
      <c r="I42" s="64">
        <v>9</v>
      </c>
      <c r="J42" s="64">
        <f>I42*60</f>
        <v>540</v>
      </c>
      <c r="K42" s="61">
        <f>G42/I42</f>
        <v>66.666666666666671</v>
      </c>
      <c r="L42" s="61">
        <f>G42/J42</f>
        <v>1.1111111111111112</v>
      </c>
      <c r="M42" s="63">
        <f>G42/H42</f>
        <v>300</v>
      </c>
      <c r="N42" s="62">
        <v>115000</v>
      </c>
      <c r="O42" s="61">
        <f>N42/M42</f>
        <v>383.33333333333331</v>
      </c>
      <c r="R42" s="60"/>
      <c r="S42" s="60"/>
      <c r="T42" s="60">
        <v>4</v>
      </c>
      <c r="U42" s="60"/>
      <c r="V42" s="59">
        <f>(L42/H42)*T42*((R42*60)+S42)</f>
        <v>0</v>
      </c>
      <c r="W42" s="59">
        <f>IF((V42-U42)&gt;0,(V42-U42)*O42,0)</f>
        <v>0</v>
      </c>
      <c r="X42" s="59">
        <f>IFERROR(MROUND(W42/T42,500),0)</f>
        <v>0</v>
      </c>
    </row>
    <row r="43" spans="1:24" ht="14.25" customHeight="1" x14ac:dyDescent="0.25">
      <c r="A43" s="82" t="s">
        <v>83</v>
      </c>
      <c r="B43" s="77"/>
      <c r="C43" s="77"/>
      <c r="D43" s="77">
        <v>18</v>
      </c>
      <c r="E43" s="81"/>
      <c r="F43" s="77"/>
      <c r="G43" s="80">
        <v>600</v>
      </c>
      <c r="H43" s="79">
        <v>2</v>
      </c>
      <c r="I43" s="64">
        <v>9</v>
      </c>
      <c r="J43" s="64">
        <f>I43*60</f>
        <v>540</v>
      </c>
      <c r="K43" s="76">
        <f>G43/I43</f>
        <v>66.666666666666671</v>
      </c>
      <c r="L43" s="61">
        <f>G43/J43</f>
        <v>1.1111111111111112</v>
      </c>
      <c r="M43" s="78">
        <f>G43/H43</f>
        <v>300</v>
      </c>
      <c r="N43" s="77">
        <v>115000</v>
      </c>
      <c r="O43" s="76">
        <f>N43/M43</f>
        <v>383.33333333333331</v>
      </c>
      <c r="R43" s="60"/>
      <c r="S43" s="60"/>
      <c r="T43" s="60">
        <v>4</v>
      </c>
      <c r="U43" s="60"/>
      <c r="V43" s="59">
        <f>(L43/H43)*T43*((R43*60)+S43)</f>
        <v>0</v>
      </c>
      <c r="W43" s="59">
        <f>IF((V43-U43)&gt;0,(V43-U43)*O43,0)</f>
        <v>0</v>
      </c>
      <c r="X43" s="59">
        <f>IFERROR(MROUND(W43/T43,500),0)</f>
        <v>0</v>
      </c>
    </row>
    <row r="44" spans="1:24" ht="14.25" customHeight="1" x14ac:dyDescent="0.25">
      <c r="A44" s="62" t="s">
        <v>82</v>
      </c>
      <c r="B44" s="62"/>
      <c r="C44" s="62"/>
      <c r="D44" s="62">
        <v>3</v>
      </c>
      <c r="E44" s="69"/>
      <c r="F44" s="62"/>
      <c r="G44" s="68">
        <v>1800</v>
      </c>
      <c r="H44" s="64">
        <v>2</v>
      </c>
      <c r="I44" s="64">
        <v>9</v>
      </c>
      <c r="J44" s="64">
        <f>I44*60</f>
        <v>540</v>
      </c>
      <c r="K44" s="61">
        <f>G44/I44</f>
        <v>200</v>
      </c>
      <c r="L44" s="61">
        <f>G44/J44</f>
        <v>3.3333333333333335</v>
      </c>
      <c r="M44" s="63">
        <f>G44/H44</f>
        <v>900</v>
      </c>
      <c r="N44" s="62">
        <v>115000</v>
      </c>
      <c r="O44" s="61">
        <f>N44/M44</f>
        <v>127.77777777777777</v>
      </c>
      <c r="R44" s="60"/>
      <c r="S44" s="60"/>
      <c r="T44" s="60">
        <v>8</v>
      </c>
      <c r="U44" s="60"/>
      <c r="V44" s="59">
        <f>(L44/H44)*T44*((R44*60)+S44)</f>
        <v>0</v>
      </c>
      <c r="W44" s="59">
        <f>IF((V44-U44)&gt;0,(V44-U44)*O44,0)</f>
        <v>0</v>
      </c>
      <c r="X44" s="59">
        <f>IFERROR(MROUND(W44/T44,500),0)</f>
        <v>0</v>
      </c>
    </row>
    <row r="45" spans="1:24" ht="14.25" customHeight="1" x14ac:dyDescent="0.25">
      <c r="A45" s="62" t="s">
        <v>82</v>
      </c>
      <c r="B45" s="62"/>
      <c r="C45" s="62"/>
      <c r="D45" s="62">
        <v>4</v>
      </c>
      <c r="E45" s="69"/>
      <c r="F45" s="62"/>
      <c r="G45" s="68">
        <v>1800</v>
      </c>
      <c r="H45" s="64">
        <v>2</v>
      </c>
      <c r="I45" s="64">
        <v>9</v>
      </c>
      <c r="J45" s="64">
        <f>I45*60</f>
        <v>540</v>
      </c>
      <c r="K45" s="61">
        <f>G45/I45</f>
        <v>200</v>
      </c>
      <c r="L45" s="61">
        <f>G45/J45</f>
        <v>3.3333333333333335</v>
      </c>
      <c r="M45" s="63">
        <f>G45/H45</f>
        <v>900</v>
      </c>
      <c r="N45" s="62">
        <v>115000</v>
      </c>
      <c r="O45" s="61">
        <f>N45/M45</f>
        <v>127.77777777777777</v>
      </c>
      <c r="R45" s="60"/>
      <c r="S45" s="60"/>
      <c r="T45" s="60">
        <v>8</v>
      </c>
      <c r="U45" s="60"/>
      <c r="V45" s="59">
        <f>(L45/H45)*T45*((R45*60)+S45)</f>
        <v>0</v>
      </c>
      <c r="W45" s="59">
        <f>IF((V45-U45)&gt;0,(V45-U45)*O45,0)</f>
        <v>0</v>
      </c>
      <c r="X45" s="59">
        <f>IFERROR(MROUND(W45/T45,500),0)</f>
        <v>0</v>
      </c>
    </row>
    <row r="46" spans="1:24" ht="14.25" customHeight="1" x14ac:dyDescent="0.25">
      <c r="A46" s="62" t="s">
        <v>82</v>
      </c>
      <c r="B46" s="62"/>
      <c r="C46" s="62"/>
      <c r="D46" s="62">
        <v>5</v>
      </c>
      <c r="E46" s="69"/>
      <c r="F46" s="62"/>
      <c r="G46" s="68">
        <v>1800</v>
      </c>
      <c r="H46" s="64">
        <v>2</v>
      </c>
      <c r="I46" s="64">
        <v>9</v>
      </c>
      <c r="J46" s="64">
        <f>I46*60</f>
        <v>540</v>
      </c>
      <c r="K46" s="61">
        <f>G46/I46</f>
        <v>200</v>
      </c>
      <c r="L46" s="61">
        <f>G46/J46</f>
        <v>3.3333333333333335</v>
      </c>
      <c r="M46" s="63">
        <f>G46/H46</f>
        <v>900</v>
      </c>
      <c r="N46" s="62">
        <v>115000</v>
      </c>
      <c r="O46" s="61">
        <f>N46/M46</f>
        <v>127.77777777777777</v>
      </c>
      <c r="R46" s="60"/>
      <c r="S46" s="60"/>
      <c r="T46" s="60">
        <v>8</v>
      </c>
      <c r="U46" s="75"/>
      <c r="V46" s="59">
        <f>(L46/H46)*T46*((R46*60)+S46)</f>
        <v>0</v>
      </c>
      <c r="W46" s="59">
        <f>IF((V46-U46)&gt;0,(V46-U46)*O46,0)</f>
        <v>0</v>
      </c>
      <c r="X46" s="59">
        <f>IFERROR(MROUND(W46/T46,500),0)</f>
        <v>0</v>
      </c>
    </row>
    <row r="47" spans="1:24" ht="14.25" customHeight="1" x14ac:dyDescent="0.25">
      <c r="A47" s="62" t="s">
        <v>82</v>
      </c>
      <c r="B47" s="62"/>
      <c r="C47" s="62"/>
      <c r="D47" s="62">
        <v>6</v>
      </c>
      <c r="E47" s="69"/>
      <c r="F47" s="62"/>
      <c r="G47" s="68"/>
      <c r="H47" s="64">
        <v>2</v>
      </c>
      <c r="I47" s="64">
        <v>9</v>
      </c>
      <c r="J47" s="64">
        <f>I47*60</f>
        <v>540</v>
      </c>
      <c r="K47" s="61">
        <f>G47/I47</f>
        <v>0</v>
      </c>
      <c r="L47" s="61">
        <f>G47/J47</f>
        <v>0</v>
      </c>
      <c r="M47" s="63">
        <f>G47/H47</f>
        <v>0</v>
      </c>
      <c r="N47" s="62">
        <v>115000</v>
      </c>
      <c r="O47" s="61" t="e">
        <f>N47/M47</f>
        <v>#DIV/0!</v>
      </c>
      <c r="R47" s="60"/>
      <c r="S47" s="60"/>
      <c r="T47" s="60">
        <v>8</v>
      </c>
      <c r="U47" s="60"/>
      <c r="V47" s="59">
        <f>(L47/H47)*T47*((R47*60)+S47)</f>
        <v>0</v>
      </c>
      <c r="W47" s="59">
        <f>IF((V47-U47)&gt;0,(V47-U47)*O47,0)</f>
        <v>0</v>
      </c>
      <c r="X47" s="59">
        <f>IFERROR(MROUND(W47/T47,500),0)</f>
        <v>0</v>
      </c>
    </row>
    <row r="48" spans="1:24" ht="14.25" customHeight="1" x14ac:dyDescent="0.25">
      <c r="A48" s="62" t="s">
        <v>82</v>
      </c>
      <c r="B48" s="62"/>
      <c r="C48" s="62"/>
      <c r="D48" s="62">
        <v>8</v>
      </c>
      <c r="E48" s="69"/>
      <c r="F48" s="62"/>
      <c r="G48" s="68"/>
      <c r="H48" s="64">
        <v>2</v>
      </c>
      <c r="I48" s="64">
        <v>9</v>
      </c>
      <c r="J48" s="64">
        <f>I48*60</f>
        <v>540</v>
      </c>
      <c r="K48" s="61">
        <f>G48/I48</f>
        <v>0</v>
      </c>
      <c r="L48" s="61">
        <f>G48/J48</f>
        <v>0</v>
      </c>
      <c r="M48" s="63">
        <f>G48/H48</f>
        <v>0</v>
      </c>
      <c r="N48" s="62">
        <v>115000</v>
      </c>
      <c r="O48" s="61" t="e">
        <f>N48/M48</f>
        <v>#DIV/0!</v>
      </c>
      <c r="R48" s="60"/>
      <c r="S48" s="60"/>
      <c r="T48" s="60">
        <v>8</v>
      </c>
      <c r="U48" s="60"/>
      <c r="V48" s="59">
        <f>(L48/H48)*T48*((R48*60)+S48)</f>
        <v>0</v>
      </c>
      <c r="W48" s="59">
        <f>IF((V48-U48)&gt;0,(V48-U48)*O48,0)</f>
        <v>0</v>
      </c>
      <c r="X48" s="59">
        <f>IFERROR(MROUND(W48/T48,500),0)</f>
        <v>0</v>
      </c>
    </row>
    <row r="49" spans="1:24" ht="14.25" customHeight="1" x14ac:dyDescent="0.25">
      <c r="A49" s="62" t="s">
        <v>82</v>
      </c>
      <c r="B49" s="73"/>
      <c r="C49" s="73"/>
      <c r="D49" s="73">
        <v>9</v>
      </c>
      <c r="E49" s="73"/>
      <c r="F49" s="73"/>
      <c r="G49" s="73"/>
      <c r="H49" s="64">
        <v>2</v>
      </c>
      <c r="I49" s="64">
        <v>9</v>
      </c>
      <c r="J49" s="64">
        <f>I49*60</f>
        <v>540</v>
      </c>
      <c r="K49" s="61">
        <f>G49/I49</f>
        <v>0</v>
      </c>
      <c r="L49" s="61">
        <f>G49/J49</f>
        <v>0</v>
      </c>
      <c r="M49" s="63">
        <f>G49/H49</f>
        <v>0</v>
      </c>
      <c r="N49" s="62">
        <v>115000</v>
      </c>
      <c r="O49" s="61" t="e">
        <f>N49/M49</f>
        <v>#DIV/0!</v>
      </c>
      <c r="R49" s="60"/>
      <c r="S49" s="60"/>
      <c r="T49" s="60">
        <v>8</v>
      </c>
      <c r="U49" s="60"/>
      <c r="V49" s="59">
        <f>(L49/H49)*T49*((R49*60)+S49)</f>
        <v>0</v>
      </c>
      <c r="W49" s="59">
        <f>IF((V49-U49)&gt;0,(V49-U49)*O49,0)</f>
        <v>0</v>
      </c>
      <c r="X49" s="59">
        <f>IFERROR(MROUND(W49/T49,500),0)</f>
        <v>0</v>
      </c>
    </row>
    <row r="50" spans="1:24" ht="14.25" customHeight="1" x14ac:dyDescent="0.25">
      <c r="A50" s="62" t="s">
        <v>82</v>
      </c>
      <c r="B50" s="73"/>
      <c r="C50" s="73"/>
      <c r="D50" s="73">
        <v>12</v>
      </c>
      <c r="E50" s="73"/>
      <c r="F50" s="73"/>
      <c r="G50" s="73"/>
      <c r="H50" s="64">
        <v>2</v>
      </c>
      <c r="I50" s="64">
        <v>9</v>
      </c>
      <c r="J50" s="64">
        <f>I50*60</f>
        <v>540</v>
      </c>
      <c r="K50" s="61">
        <f>G50/I50</f>
        <v>0</v>
      </c>
      <c r="L50" s="61">
        <f>G50/J50</f>
        <v>0</v>
      </c>
      <c r="M50" s="63">
        <f>G50/H50</f>
        <v>0</v>
      </c>
      <c r="N50" s="62">
        <v>115000</v>
      </c>
      <c r="O50" s="61" t="e">
        <f>N50/M50</f>
        <v>#DIV/0!</v>
      </c>
      <c r="R50" s="60"/>
      <c r="S50" s="60"/>
      <c r="T50" s="60">
        <v>8</v>
      </c>
      <c r="U50" s="60"/>
      <c r="V50" s="59">
        <f>(L50/H50)*T50*((R50*60)+S50)</f>
        <v>0</v>
      </c>
      <c r="W50" s="59">
        <f>IF((V50-U50)&gt;0,(V50-U50)*O50,0)</f>
        <v>0</v>
      </c>
      <c r="X50" s="59">
        <f>IFERROR(MROUND(W50/T50,500),0)</f>
        <v>0</v>
      </c>
    </row>
    <row r="51" spans="1:24" ht="14.25" customHeight="1" x14ac:dyDescent="0.25">
      <c r="A51" s="62" t="s">
        <v>82</v>
      </c>
      <c r="B51" s="73"/>
      <c r="C51" s="73"/>
      <c r="D51" s="73">
        <v>15</v>
      </c>
      <c r="E51" s="73"/>
      <c r="F51" s="73"/>
      <c r="G51" s="73">
        <v>600</v>
      </c>
      <c r="H51" s="64">
        <v>2</v>
      </c>
      <c r="I51" s="64">
        <v>9</v>
      </c>
      <c r="J51" s="64">
        <f>I51*60</f>
        <v>540</v>
      </c>
      <c r="K51" s="61">
        <f>G51/I51</f>
        <v>66.666666666666671</v>
      </c>
      <c r="L51" s="61">
        <f>G51/J51</f>
        <v>1.1111111111111112</v>
      </c>
      <c r="M51" s="63">
        <f>G51/H51</f>
        <v>300</v>
      </c>
      <c r="N51" s="62">
        <v>115000</v>
      </c>
      <c r="O51" s="61">
        <f>N51/M51</f>
        <v>383.33333333333331</v>
      </c>
      <c r="R51" s="60"/>
      <c r="S51" s="60"/>
      <c r="T51" s="60">
        <v>8</v>
      </c>
      <c r="U51" s="60"/>
      <c r="V51" s="59">
        <f>(L51/H51)*T51*((R51*60)+S51)</f>
        <v>0</v>
      </c>
      <c r="W51" s="59">
        <f>IF((V51-U51)&gt;0,(V51-U51)*O51,0)</f>
        <v>0</v>
      </c>
      <c r="X51" s="59">
        <f>IFERROR(MROUND(W51/T51,500),0)</f>
        <v>0</v>
      </c>
    </row>
    <row r="52" spans="1:24" ht="14.25" customHeight="1" x14ac:dyDescent="0.25">
      <c r="A52" s="62" t="s">
        <v>82</v>
      </c>
      <c r="B52" s="73"/>
      <c r="C52" s="73"/>
      <c r="D52" s="73">
        <v>18</v>
      </c>
      <c r="E52" s="73"/>
      <c r="F52" s="73"/>
      <c r="G52" s="73">
        <v>600</v>
      </c>
      <c r="H52" s="64">
        <v>2</v>
      </c>
      <c r="I52" s="64">
        <v>9</v>
      </c>
      <c r="J52" s="64">
        <f>I52*60</f>
        <v>540</v>
      </c>
      <c r="K52" s="61">
        <f>G52/I52</f>
        <v>66.666666666666671</v>
      </c>
      <c r="L52" s="61">
        <f>G52/J52</f>
        <v>1.1111111111111112</v>
      </c>
      <c r="M52" s="63">
        <f>G52/H52</f>
        <v>300</v>
      </c>
      <c r="N52" s="62">
        <v>115000</v>
      </c>
      <c r="O52" s="61">
        <f>N52/M52</f>
        <v>383.33333333333331</v>
      </c>
      <c r="R52" s="60"/>
      <c r="S52" s="60"/>
      <c r="T52" s="60">
        <v>8</v>
      </c>
      <c r="U52" s="60"/>
      <c r="V52" s="59">
        <f>(L52/H52)*T52*((R52*60)+S52)</f>
        <v>0</v>
      </c>
      <c r="W52" s="59">
        <f>IF((V52-U52)&gt;0,(V52-U52)*O52,0)</f>
        <v>0</v>
      </c>
      <c r="X52" s="59">
        <f>IFERROR(MROUND(W52/T52,500),0)</f>
        <v>0</v>
      </c>
    </row>
    <row r="53" spans="1:24" ht="14.25" customHeight="1" x14ac:dyDescent="0.25">
      <c r="A53" s="62" t="s">
        <v>79</v>
      </c>
      <c r="B53" s="73"/>
      <c r="C53" s="73"/>
      <c r="D53" s="73" t="s">
        <v>81</v>
      </c>
      <c r="E53" s="73"/>
      <c r="F53" s="73"/>
      <c r="G53" s="73">
        <v>130</v>
      </c>
      <c r="H53" s="64">
        <v>2</v>
      </c>
      <c r="I53" s="64">
        <v>9</v>
      </c>
      <c r="J53" s="64">
        <f>I53*60</f>
        <v>540</v>
      </c>
      <c r="K53" s="61">
        <f>G53/I53</f>
        <v>14.444444444444445</v>
      </c>
      <c r="L53" s="61">
        <f>G53/J53</f>
        <v>0.24074074074074073</v>
      </c>
      <c r="M53" s="63">
        <f>G53/H53</f>
        <v>65</v>
      </c>
      <c r="N53" s="62">
        <v>115001</v>
      </c>
      <c r="O53" s="61">
        <f>N53/M53</f>
        <v>1769.2461538461539</v>
      </c>
      <c r="P53" s="72" t="s">
        <v>80</v>
      </c>
      <c r="R53" s="60"/>
      <c r="S53" s="60"/>
      <c r="T53" s="60">
        <v>8</v>
      </c>
      <c r="U53" s="60"/>
      <c r="V53" s="59">
        <f>(L53/H53)*T53*((R53*60)+S53)</f>
        <v>0</v>
      </c>
      <c r="W53" s="59">
        <f>IF((V53-U53)&gt;0,(V53-U53)*O53,0)</f>
        <v>0</v>
      </c>
      <c r="X53" s="59">
        <f>IFERROR(MROUND(W53/T53,500),0)</f>
        <v>0</v>
      </c>
    </row>
    <row r="54" spans="1:24" ht="14.25" customHeight="1" x14ac:dyDescent="0.25">
      <c r="A54" s="62" t="s">
        <v>79</v>
      </c>
      <c r="B54" s="73"/>
      <c r="C54" s="73"/>
      <c r="D54" s="73" t="s">
        <v>78</v>
      </c>
      <c r="E54" s="73"/>
      <c r="F54" s="73"/>
      <c r="G54" s="73">
        <v>130</v>
      </c>
      <c r="H54" s="64">
        <v>2</v>
      </c>
      <c r="I54" s="64">
        <v>9</v>
      </c>
      <c r="J54" s="64">
        <f>I54*60</f>
        <v>540</v>
      </c>
      <c r="K54" s="61">
        <f>G54/I54</f>
        <v>14.444444444444445</v>
      </c>
      <c r="L54" s="61">
        <f>G54/J54</f>
        <v>0.24074074074074073</v>
      </c>
      <c r="M54" s="63">
        <f>G54/H54</f>
        <v>65</v>
      </c>
      <c r="N54" s="62">
        <v>115002</v>
      </c>
      <c r="O54" s="61">
        <f>N54/M54</f>
        <v>1769.2615384615385</v>
      </c>
      <c r="R54" s="60"/>
      <c r="S54" s="60"/>
      <c r="T54" s="60">
        <v>8</v>
      </c>
      <c r="U54" s="60"/>
      <c r="V54" s="59">
        <f>(L54/H54)*T54*((R54*60)+S54)</f>
        <v>0</v>
      </c>
      <c r="W54" s="59">
        <f>IF((V54-U54)&gt;0,(V54-U54)*O54,0)</f>
        <v>0</v>
      </c>
      <c r="X54" s="59">
        <f>IFERROR(MROUND(W54/T54,500),0)</f>
        <v>0</v>
      </c>
    </row>
    <row r="55" spans="1:24" ht="14.25" customHeight="1" x14ac:dyDescent="0.25">
      <c r="A55" s="62" t="s">
        <v>77</v>
      </c>
      <c r="B55" s="73"/>
      <c r="C55" s="73"/>
      <c r="D55" s="73">
        <v>5</v>
      </c>
      <c r="E55" s="73" t="s">
        <v>39</v>
      </c>
      <c r="F55" s="73"/>
      <c r="G55" s="73">
        <v>1500</v>
      </c>
      <c r="H55" s="64">
        <v>2</v>
      </c>
      <c r="I55" s="64">
        <v>9</v>
      </c>
      <c r="J55" s="64">
        <f>I55*60</f>
        <v>540</v>
      </c>
      <c r="K55" s="61">
        <f>G55/I55</f>
        <v>166.66666666666666</v>
      </c>
      <c r="L55" s="61">
        <f>G55/J55</f>
        <v>2.7777777777777777</v>
      </c>
      <c r="M55" s="63">
        <f>G55/H55</f>
        <v>750</v>
      </c>
      <c r="N55" s="62">
        <v>115003</v>
      </c>
      <c r="O55" s="61">
        <f>N55/M55</f>
        <v>153.33733333333333</v>
      </c>
      <c r="R55" s="60"/>
      <c r="S55" s="60"/>
      <c r="T55" s="60">
        <v>2</v>
      </c>
      <c r="U55" s="60"/>
      <c r="V55" s="59">
        <f>(L55/H55)*T55*((R55*60)+S55)</f>
        <v>0</v>
      </c>
      <c r="W55" s="59">
        <f>IF((V55-U55)&gt;0,(V55-U55)*O55,0)</f>
        <v>0</v>
      </c>
      <c r="X55" s="59">
        <f>IFERROR(MROUND(W55/T55,500),0)</f>
        <v>0</v>
      </c>
    </row>
    <row r="56" spans="1:24" ht="14.25" customHeight="1" x14ac:dyDescent="0.25">
      <c r="A56" s="62" t="s">
        <v>75</v>
      </c>
      <c r="B56" s="73"/>
      <c r="C56" s="73"/>
      <c r="D56" s="73">
        <v>3</v>
      </c>
      <c r="E56" s="73" t="s">
        <v>39</v>
      </c>
      <c r="F56" s="73"/>
      <c r="G56" s="73">
        <v>850</v>
      </c>
      <c r="H56" s="64">
        <v>1</v>
      </c>
      <c r="I56" s="64">
        <v>9</v>
      </c>
      <c r="J56" s="64">
        <f>I56*60</f>
        <v>540</v>
      </c>
      <c r="K56" s="61">
        <f>G56/I56</f>
        <v>94.444444444444443</v>
      </c>
      <c r="L56" s="61">
        <f>G56/J56</f>
        <v>1.5740740740740742</v>
      </c>
      <c r="M56" s="63">
        <f>G56/H56</f>
        <v>850</v>
      </c>
      <c r="N56" s="62">
        <v>115004</v>
      </c>
      <c r="O56" s="61">
        <f>N56/M56</f>
        <v>135.29882352941178</v>
      </c>
      <c r="R56" s="60"/>
      <c r="S56" s="60"/>
      <c r="T56" s="60">
        <v>8</v>
      </c>
      <c r="U56" s="60"/>
      <c r="V56" s="59">
        <f>(L56/H56)*T56*((R56*60)+S56)</f>
        <v>0</v>
      </c>
      <c r="W56" s="59">
        <f>IF((V56-U56)&gt;0,(V56-U56)*O56,0)</f>
        <v>0</v>
      </c>
      <c r="X56" s="59">
        <f>IFERROR(MROUND(W56/T56,500),0)</f>
        <v>0</v>
      </c>
    </row>
    <row r="57" spans="1:24" ht="14.25" customHeight="1" x14ac:dyDescent="0.25">
      <c r="A57" s="62" t="s">
        <v>75</v>
      </c>
      <c r="B57" s="73"/>
      <c r="C57" s="73"/>
      <c r="D57" s="73">
        <v>4</v>
      </c>
      <c r="E57" s="73" t="s">
        <v>39</v>
      </c>
      <c r="F57" s="73"/>
      <c r="G57" s="73">
        <v>850</v>
      </c>
      <c r="H57" s="64">
        <v>1</v>
      </c>
      <c r="I57" s="64">
        <v>9</v>
      </c>
      <c r="J57" s="64">
        <f>I57*60</f>
        <v>540</v>
      </c>
      <c r="K57" s="61">
        <f>G57/I57</f>
        <v>94.444444444444443</v>
      </c>
      <c r="L57" s="61">
        <f>G57/J57</f>
        <v>1.5740740740740742</v>
      </c>
      <c r="M57" s="63">
        <f>G57/H57</f>
        <v>850</v>
      </c>
      <c r="N57" s="62">
        <v>115005</v>
      </c>
      <c r="O57" s="61">
        <f>N57/M57</f>
        <v>135.30000000000001</v>
      </c>
      <c r="R57" s="60"/>
      <c r="S57" s="60"/>
      <c r="T57" s="60">
        <v>8</v>
      </c>
      <c r="U57" s="60"/>
      <c r="V57" s="59">
        <f>(L57/H57)*T57*((R57*60)+S57)</f>
        <v>0</v>
      </c>
      <c r="W57" s="59">
        <f>IF((V57-U57)&gt;0,(V57-U57)*O57,0)</f>
        <v>0</v>
      </c>
      <c r="X57" s="59">
        <f>IFERROR(MROUND(W57/T57,500),0)</f>
        <v>0</v>
      </c>
    </row>
    <row r="58" spans="1:24" ht="14.25" customHeight="1" x14ac:dyDescent="0.25">
      <c r="A58" s="62" t="s">
        <v>75</v>
      </c>
      <c r="B58" s="73"/>
      <c r="C58" s="73"/>
      <c r="D58" s="74">
        <v>5</v>
      </c>
      <c r="E58" s="73" t="s">
        <v>39</v>
      </c>
      <c r="F58" s="73"/>
      <c r="G58" s="73">
        <v>1000</v>
      </c>
      <c r="H58" s="64">
        <v>1</v>
      </c>
      <c r="I58" s="64">
        <v>9</v>
      </c>
      <c r="J58" s="64">
        <f>I58*60</f>
        <v>540</v>
      </c>
      <c r="K58" s="61">
        <f>G58/I58</f>
        <v>111.11111111111111</v>
      </c>
      <c r="L58" s="61">
        <f>G58/J58</f>
        <v>1.8518518518518519</v>
      </c>
      <c r="M58" s="63">
        <f>G58/H58</f>
        <v>1000</v>
      </c>
      <c r="N58" s="62">
        <v>115006</v>
      </c>
      <c r="O58" s="61">
        <f>N58/M58</f>
        <v>115.006</v>
      </c>
      <c r="R58" s="60">
        <v>8</v>
      </c>
      <c r="S58" s="60"/>
      <c r="T58" s="60">
        <v>1</v>
      </c>
      <c r="U58" s="60">
        <v>850</v>
      </c>
      <c r="V58" s="59">
        <f>(L58/H58)*T58*((R58*60)+S58)</f>
        <v>888.88888888888891</v>
      </c>
      <c r="W58" s="59">
        <f>IF((V58-U58)&gt;0,(V58-U58)*O58,0)</f>
        <v>4472.455555555558</v>
      </c>
      <c r="X58" s="59">
        <f>IFERROR(MROUND(W58/T58,500),0)</f>
        <v>4500</v>
      </c>
    </row>
    <row r="59" spans="1:24" ht="14.25" customHeight="1" x14ac:dyDescent="0.25">
      <c r="A59" s="62" t="s">
        <v>75</v>
      </c>
      <c r="B59" s="73"/>
      <c r="C59" s="73"/>
      <c r="D59" s="73">
        <v>6</v>
      </c>
      <c r="E59" s="73" t="s">
        <v>39</v>
      </c>
      <c r="F59" s="73"/>
      <c r="G59" s="73">
        <v>850</v>
      </c>
      <c r="H59" s="64">
        <v>1</v>
      </c>
      <c r="I59" s="64">
        <v>9</v>
      </c>
      <c r="J59" s="64">
        <f>I59*60</f>
        <v>540</v>
      </c>
      <c r="K59" s="61">
        <f>G59/I59</f>
        <v>94.444444444444443</v>
      </c>
      <c r="L59" s="61">
        <f>G59/J59</f>
        <v>1.5740740740740742</v>
      </c>
      <c r="M59" s="63">
        <f>G59/H59</f>
        <v>850</v>
      </c>
      <c r="N59" s="62">
        <v>115007</v>
      </c>
      <c r="O59" s="61">
        <f>N59/M59</f>
        <v>135.30235294117648</v>
      </c>
      <c r="R59" s="60"/>
      <c r="S59" s="60"/>
      <c r="T59" s="60">
        <v>1</v>
      </c>
      <c r="U59" s="60"/>
      <c r="V59" s="59">
        <f>(L59/H59)*T59*((R59*60)+S59)</f>
        <v>0</v>
      </c>
      <c r="W59" s="59">
        <f>IF((V59-U59)&gt;0,(V59-U59)*O59,0)</f>
        <v>0</v>
      </c>
      <c r="X59" s="59">
        <f>IFERROR(MROUND(W59/T59,500),0)</f>
        <v>0</v>
      </c>
    </row>
    <row r="60" spans="1:24" ht="14.25" customHeight="1" x14ac:dyDescent="0.25">
      <c r="A60" s="62" t="s">
        <v>75</v>
      </c>
      <c r="B60" s="73"/>
      <c r="C60" s="73"/>
      <c r="D60" s="73">
        <v>8</v>
      </c>
      <c r="E60" s="73" t="s">
        <v>39</v>
      </c>
      <c r="F60" s="73"/>
      <c r="G60" s="73">
        <v>600</v>
      </c>
      <c r="H60" s="64">
        <v>1</v>
      </c>
      <c r="I60" s="64">
        <v>9</v>
      </c>
      <c r="J60" s="64">
        <f>I60*60</f>
        <v>540</v>
      </c>
      <c r="K60" s="61">
        <f>G60/I60</f>
        <v>66.666666666666671</v>
      </c>
      <c r="L60" s="61">
        <f>G60/J60</f>
        <v>1.1111111111111112</v>
      </c>
      <c r="M60" s="63">
        <f>G60/H60</f>
        <v>600</v>
      </c>
      <c r="N60" s="62">
        <v>115008</v>
      </c>
      <c r="O60" s="61">
        <f>N60/M60</f>
        <v>191.68</v>
      </c>
      <c r="R60" s="60"/>
      <c r="S60" s="60"/>
      <c r="T60" s="60">
        <v>8</v>
      </c>
      <c r="U60" s="60"/>
      <c r="V60" s="59">
        <f>(L60/H60)*T60*((R60*60)+S60)</f>
        <v>0</v>
      </c>
      <c r="W60" s="59">
        <f>IF((V60-U60)&gt;0,(V60-U60)*O60,0)</f>
        <v>0</v>
      </c>
      <c r="X60" s="59">
        <f>IFERROR(MROUND(W60/T60,500),0)</f>
        <v>0</v>
      </c>
    </row>
    <row r="61" spans="1:24" ht="14.25" customHeight="1" x14ac:dyDescent="0.25">
      <c r="A61" s="62" t="s">
        <v>75</v>
      </c>
      <c r="B61" s="73"/>
      <c r="C61" s="73"/>
      <c r="D61" s="73">
        <v>9</v>
      </c>
      <c r="E61" s="73" t="s">
        <v>39</v>
      </c>
      <c r="F61" s="73"/>
      <c r="G61" s="73">
        <v>600</v>
      </c>
      <c r="H61" s="64">
        <v>1</v>
      </c>
      <c r="I61" s="64">
        <v>9</v>
      </c>
      <c r="J61" s="64">
        <f>I61*60</f>
        <v>540</v>
      </c>
      <c r="K61" s="61">
        <f>G61/I61</f>
        <v>66.666666666666671</v>
      </c>
      <c r="L61" s="61">
        <f>G61/J61</f>
        <v>1.1111111111111112</v>
      </c>
      <c r="M61" s="63">
        <f>G61/H61</f>
        <v>600</v>
      </c>
      <c r="N61" s="62">
        <v>115009</v>
      </c>
      <c r="O61" s="61">
        <f>N61/M61</f>
        <v>191.68166666666667</v>
      </c>
      <c r="R61" s="60"/>
      <c r="S61" s="60"/>
      <c r="T61" s="60">
        <v>1</v>
      </c>
      <c r="U61" s="60"/>
      <c r="V61" s="59">
        <f>(L61/H61)*T61*((R61*60)+S61)</f>
        <v>0</v>
      </c>
      <c r="W61" s="59">
        <f>IF((V61-U61)&gt;0,(V61-U61)*O61,0)</f>
        <v>0</v>
      </c>
      <c r="X61" s="59">
        <f>IFERROR(MROUND(W61/T61,500),0)</f>
        <v>0</v>
      </c>
    </row>
    <row r="62" spans="1:24" ht="14.25" customHeight="1" x14ac:dyDescent="0.25">
      <c r="A62" s="62" t="s">
        <v>75</v>
      </c>
      <c r="B62" s="73"/>
      <c r="C62" s="73"/>
      <c r="D62" s="73">
        <v>12</v>
      </c>
      <c r="E62" s="73" t="s">
        <v>39</v>
      </c>
      <c r="F62" s="73"/>
      <c r="G62" s="73">
        <v>600</v>
      </c>
      <c r="H62" s="64">
        <v>1</v>
      </c>
      <c r="I62" s="64">
        <v>9</v>
      </c>
      <c r="J62" s="64">
        <f>I62*60</f>
        <v>540</v>
      </c>
      <c r="K62" s="61">
        <f>G62/I62</f>
        <v>66.666666666666671</v>
      </c>
      <c r="L62" s="61">
        <f>G62/J62</f>
        <v>1.1111111111111112</v>
      </c>
      <c r="M62" s="63">
        <f>G62/H62</f>
        <v>600</v>
      </c>
      <c r="N62" s="62">
        <v>115010</v>
      </c>
      <c r="O62" s="61">
        <f>N62/M62</f>
        <v>191.68333333333334</v>
      </c>
      <c r="R62" s="60"/>
      <c r="S62" s="60"/>
      <c r="T62" s="60">
        <v>1</v>
      </c>
      <c r="U62" s="60"/>
      <c r="V62" s="59">
        <f>(L62/H62)*T62*((R62*60)+S62)</f>
        <v>0</v>
      </c>
      <c r="W62" s="59">
        <f>IF((V62-U62)&gt;0,(V62-U62)*O62,0)</f>
        <v>0</v>
      </c>
      <c r="X62" s="59">
        <f>IFERROR(MROUND(W62/T62,500),0)</f>
        <v>0</v>
      </c>
    </row>
    <row r="63" spans="1:24" ht="14.25" customHeight="1" x14ac:dyDescent="0.25">
      <c r="A63" s="62" t="s">
        <v>75</v>
      </c>
      <c r="B63" s="73"/>
      <c r="C63" s="73"/>
      <c r="D63" s="73">
        <v>15</v>
      </c>
      <c r="E63" s="73" t="s">
        <v>39</v>
      </c>
      <c r="F63" s="73"/>
      <c r="G63" s="73">
        <v>350</v>
      </c>
      <c r="H63" s="64">
        <v>1</v>
      </c>
      <c r="I63" s="64">
        <v>9</v>
      </c>
      <c r="J63" s="64">
        <f>I63*60</f>
        <v>540</v>
      </c>
      <c r="K63" s="61">
        <f>G63/I63</f>
        <v>38.888888888888886</v>
      </c>
      <c r="L63" s="61">
        <f>G63/J63</f>
        <v>0.64814814814814814</v>
      </c>
      <c r="M63" s="63">
        <f>G63/H63</f>
        <v>350</v>
      </c>
      <c r="N63" s="62">
        <v>115011</v>
      </c>
      <c r="O63" s="61">
        <f>N63/M63</f>
        <v>328.60285714285715</v>
      </c>
      <c r="R63" s="60"/>
      <c r="S63" s="60"/>
      <c r="T63" s="60">
        <v>1</v>
      </c>
      <c r="U63" s="60"/>
      <c r="V63" s="59">
        <f>(L63/H63)*T63*((R63*60)+S63)</f>
        <v>0</v>
      </c>
      <c r="W63" s="59">
        <f>IF((V63-U63)&gt;0,(V63-U63)*O63,0)</f>
        <v>0</v>
      </c>
      <c r="X63" s="59">
        <f>IFERROR(MROUND(W63/T63,500),0)</f>
        <v>0</v>
      </c>
    </row>
    <row r="64" spans="1:24" ht="14.25" customHeight="1" x14ac:dyDescent="0.25">
      <c r="A64" s="62" t="s">
        <v>75</v>
      </c>
      <c r="B64" s="73"/>
      <c r="C64" s="73"/>
      <c r="D64" s="73">
        <v>18</v>
      </c>
      <c r="E64" s="73" t="s">
        <v>39</v>
      </c>
      <c r="F64" s="73"/>
      <c r="G64" s="73">
        <v>350</v>
      </c>
      <c r="H64" s="64">
        <v>1</v>
      </c>
      <c r="I64" s="64">
        <v>9</v>
      </c>
      <c r="J64" s="64">
        <f>I64*60</f>
        <v>540</v>
      </c>
      <c r="K64" s="61">
        <f>G64/I64</f>
        <v>38.888888888888886</v>
      </c>
      <c r="L64" s="61">
        <f>G64/J64</f>
        <v>0.64814814814814814</v>
      </c>
      <c r="M64" s="63">
        <f>G64/H64</f>
        <v>350</v>
      </c>
      <c r="N64" s="62">
        <v>115012</v>
      </c>
      <c r="O64" s="61">
        <f>N64/M64</f>
        <v>328.60571428571427</v>
      </c>
      <c r="R64" s="60"/>
      <c r="S64" s="60"/>
      <c r="T64" s="60">
        <v>8</v>
      </c>
      <c r="U64" s="60"/>
      <c r="V64" s="59">
        <f>(L64/H64)*T64*((R64*60)+S64)</f>
        <v>0</v>
      </c>
      <c r="W64" s="59">
        <f>IF((V64-U64)&gt;0,(V64-U64)*O64,0)</f>
        <v>0</v>
      </c>
      <c r="X64" s="59">
        <f>IFERROR(MROUND(W64/T64,500),0)</f>
        <v>0</v>
      </c>
    </row>
    <row r="65" spans="1:24" ht="14.25" customHeight="1" x14ac:dyDescent="0.25">
      <c r="A65" s="62" t="s">
        <v>75</v>
      </c>
      <c r="B65" s="73"/>
      <c r="C65" s="73"/>
      <c r="D65" s="73">
        <v>5</v>
      </c>
      <c r="E65" s="73" t="s">
        <v>43</v>
      </c>
      <c r="F65" s="73"/>
      <c r="G65" s="73">
        <v>1500</v>
      </c>
      <c r="H65" s="64">
        <v>1</v>
      </c>
      <c r="I65" s="64">
        <v>9</v>
      </c>
      <c r="J65" s="64">
        <f>I65*60</f>
        <v>540</v>
      </c>
      <c r="K65" s="61">
        <f>G65/I65</f>
        <v>166.66666666666666</v>
      </c>
      <c r="L65" s="61">
        <f>G65/J65</f>
        <v>2.7777777777777777</v>
      </c>
      <c r="M65" s="63">
        <f>G65/H65</f>
        <v>1500</v>
      </c>
      <c r="N65" s="62">
        <v>115013</v>
      </c>
      <c r="O65" s="61">
        <f>N65/M65</f>
        <v>76.675333333333327</v>
      </c>
      <c r="R65" s="60"/>
      <c r="S65" s="60"/>
      <c r="T65" s="60">
        <v>8</v>
      </c>
      <c r="U65" s="60"/>
      <c r="V65" s="59">
        <f>(L65/H65)*T65*((R65*60)+S65)</f>
        <v>0</v>
      </c>
      <c r="W65" s="59">
        <f>IF((V65-U65)&gt;0,(V65-U65)*O65,0)</f>
        <v>0</v>
      </c>
      <c r="X65" s="59">
        <f>IFERROR(MROUND(W65/T65,500),0)</f>
        <v>0</v>
      </c>
    </row>
    <row r="66" spans="1:24" ht="14.25" customHeight="1" x14ac:dyDescent="0.25">
      <c r="A66" s="62" t="s">
        <v>75</v>
      </c>
      <c r="B66" s="73"/>
      <c r="C66" s="73"/>
      <c r="D66" s="73">
        <v>3</v>
      </c>
      <c r="E66" s="73" t="s">
        <v>43</v>
      </c>
      <c r="F66" s="73"/>
      <c r="G66" s="73">
        <v>850</v>
      </c>
      <c r="H66" s="64">
        <v>1</v>
      </c>
      <c r="I66" s="64">
        <v>9</v>
      </c>
      <c r="J66" s="64">
        <f>I66*60</f>
        <v>540</v>
      </c>
      <c r="K66" s="61">
        <f>G66/I66</f>
        <v>94.444444444444443</v>
      </c>
      <c r="L66" s="61">
        <f>G66/J66</f>
        <v>1.5740740740740742</v>
      </c>
      <c r="M66" s="63">
        <f>G66/H66</f>
        <v>850</v>
      </c>
      <c r="N66" s="62">
        <v>115014</v>
      </c>
      <c r="O66" s="61">
        <f>N66/M66</f>
        <v>135.31058823529412</v>
      </c>
      <c r="R66" s="60"/>
      <c r="S66" s="60"/>
      <c r="T66" s="60">
        <v>8</v>
      </c>
      <c r="U66" s="60"/>
      <c r="V66" s="59">
        <f>(L66/H66)*T66*((R66*60)+S66)</f>
        <v>0</v>
      </c>
      <c r="W66" s="59">
        <f>IF((V66-U66)&gt;0,(V66-U66)*O66,0)</f>
        <v>0</v>
      </c>
      <c r="X66" s="59">
        <f>IFERROR(MROUND(W66/T66,500),0)</f>
        <v>0</v>
      </c>
    </row>
    <row r="67" spans="1:24" ht="14.25" customHeight="1" x14ac:dyDescent="0.25">
      <c r="A67" s="62" t="s">
        <v>75</v>
      </c>
      <c r="B67" s="73"/>
      <c r="C67" s="73"/>
      <c r="D67" s="73">
        <v>4</v>
      </c>
      <c r="E67" s="73" t="s">
        <v>43</v>
      </c>
      <c r="F67" s="73"/>
      <c r="G67" s="73">
        <v>850</v>
      </c>
      <c r="H67" s="64">
        <v>1</v>
      </c>
      <c r="I67" s="64">
        <v>9</v>
      </c>
      <c r="J67" s="64">
        <f>I67*60</f>
        <v>540</v>
      </c>
      <c r="K67" s="61">
        <f>G67/I67</f>
        <v>94.444444444444443</v>
      </c>
      <c r="L67" s="61">
        <f>G67/J67</f>
        <v>1.5740740740740742</v>
      </c>
      <c r="M67" s="63">
        <f>G67/H67</f>
        <v>850</v>
      </c>
      <c r="N67" s="62">
        <v>115015</v>
      </c>
      <c r="O67" s="61">
        <f>N67/M67</f>
        <v>135.31176470588235</v>
      </c>
      <c r="R67" s="60"/>
      <c r="S67" s="60"/>
      <c r="T67" s="60">
        <v>8</v>
      </c>
      <c r="U67" s="60"/>
      <c r="V67" s="59">
        <f>(L67/H67)*T67*((R67*60)+S67)</f>
        <v>0</v>
      </c>
      <c r="W67" s="59">
        <f>IF((V67-U67)&gt;0,(V67-U67)*O67,0)</f>
        <v>0</v>
      </c>
      <c r="X67" s="59">
        <f>IFERROR(MROUND(W67/T67,500),0)</f>
        <v>0</v>
      </c>
    </row>
    <row r="68" spans="1:24" ht="14.25" customHeight="1" x14ac:dyDescent="0.25">
      <c r="A68" s="62" t="s">
        <v>75</v>
      </c>
      <c r="B68" s="73"/>
      <c r="C68" s="73"/>
      <c r="D68" s="73">
        <v>5</v>
      </c>
      <c r="E68" s="73" t="s">
        <v>43</v>
      </c>
      <c r="F68" s="73"/>
      <c r="G68" s="73">
        <v>850</v>
      </c>
      <c r="H68" s="64">
        <v>1</v>
      </c>
      <c r="I68" s="64">
        <v>9</v>
      </c>
      <c r="J68" s="64">
        <f>I68*60</f>
        <v>540</v>
      </c>
      <c r="K68" s="61">
        <f>G68/I68</f>
        <v>94.444444444444443</v>
      </c>
      <c r="L68" s="61">
        <f>G68/J68</f>
        <v>1.5740740740740742</v>
      </c>
      <c r="M68" s="63">
        <f>G68/H68</f>
        <v>850</v>
      </c>
      <c r="N68" s="62">
        <v>115016</v>
      </c>
      <c r="O68" s="61">
        <f>N68/M68</f>
        <v>135.31294117647059</v>
      </c>
      <c r="R68" s="60"/>
      <c r="S68" s="60"/>
      <c r="T68" s="60">
        <v>8</v>
      </c>
      <c r="U68" s="60"/>
      <c r="V68" s="59">
        <f>(L68/H68)*T68*((R68*60)+S68)</f>
        <v>0</v>
      </c>
      <c r="W68" s="59">
        <f>IF((V68-U68)&gt;0,(V68-U68)*O68,0)</f>
        <v>0</v>
      </c>
      <c r="X68" s="59">
        <f>IFERROR(MROUND(W68/T68,500),0)</f>
        <v>0</v>
      </c>
    </row>
    <row r="69" spans="1:24" ht="14.25" customHeight="1" x14ac:dyDescent="0.25">
      <c r="A69" s="62" t="s">
        <v>75</v>
      </c>
      <c r="B69" s="73"/>
      <c r="C69" s="73"/>
      <c r="D69" s="73">
        <v>6</v>
      </c>
      <c r="E69" s="73" t="s">
        <v>43</v>
      </c>
      <c r="F69" s="73"/>
      <c r="G69" s="73"/>
      <c r="H69" s="64">
        <v>1</v>
      </c>
      <c r="I69" s="64">
        <v>9</v>
      </c>
      <c r="J69" s="64">
        <f>I69*60</f>
        <v>540</v>
      </c>
      <c r="K69" s="61">
        <f>G69/I69</f>
        <v>0</v>
      </c>
      <c r="L69" s="61">
        <f>G69/J69</f>
        <v>0</v>
      </c>
      <c r="M69" s="63">
        <f>G69/H69</f>
        <v>0</v>
      </c>
      <c r="N69" s="62">
        <v>115017</v>
      </c>
      <c r="O69" s="61" t="e">
        <f>N69/M69</f>
        <v>#DIV/0!</v>
      </c>
      <c r="R69" s="60"/>
      <c r="S69" s="60"/>
      <c r="T69" s="60">
        <v>8</v>
      </c>
      <c r="U69" s="60"/>
      <c r="V69" s="59">
        <f>(L69/H69)*T69*((R69*60)+S69)</f>
        <v>0</v>
      </c>
      <c r="W69" s="59">
        <f>IF((V69-U69)&gt;0,(V69-U69)*O69,0)</f>
        <v>0</v>
      </c>
      <c r="X69" s="59">
        <f>IFERROR(MROUND(W69/T69,500),0)</f>
        <v>0</v>
      </c>
    </row>
    <row r="70" spans="1:24" ht="14.25" customHeight="1" x14ac:dyDescent="0.25">
      <c r="A70" s="62" t="s">
        <v>75</v>
      </c>
      <c r="B70" s="73"/>
      <c r="C70" s="73"/>
      <c r="D70" s="73">
        <v>8</v>
      </c>
      <c r="E70" s="73" t="s">
        <v>43</v>
      </c>
      <c r="F70" s="73"/>
      <c r="G70" s="73">
        <v>600</v>
      </c>
      <c r="H70" s="64">
        <v>1</v>
      </c>
      <c r="I70" s="64">
        <v>9</v>
      </c>
      <c r="J70" s="64">
        <f>I70*60</f>
        <v>540</v>
      </c>
      <c r="K70" s="61">
        <f>G70/I70</f>
        <v>66.666666666666671</v>
      </c>
      <c r="L70" s="61">
        <f>G70/J70</f>
        <v>1.1111111111111112</v>
      </c>
      <c r="M70" s="63">
        <f>G70/H70</f>
        <v>600</v>
      </c>
      <c r="N70" s="62">
        <v>115018</v>
      </c>
      <c r="O70" s="61">
        <f>N70/M70</f>
        <v>191.69666666666666</v>
      </c>
      <c r="R70" s="60"/>
      <c r="S70" s="60"/>
      <c r="T70" s="60">
        <v>8</v>
      </c>
      <c r="U70" s="60"/>
      <c r="V70" s="59">
        <f>(L70/H70)*T70*((R70*60)+S70)</f>
        <v>0</v>
      </c>
      <c r="W70" s="59">
        <f>IF((V70-U70)&gt;0,(V70-U70)*O70,0)</f>
        <v>0</v>
      </c>
      <c r="X70" s="59">
        <f>IFERROR(MROUND(W70/T70,500),0)</f>
        <v>0</v>
      </c>
    </row>
    <row r="71" spans="1:24" ht="14.25" customHeight="1" x14ac:dyDescent="0.25">
      <c r="A71" s="62" t="s">
        <v>75</v>
      </c>
      <c r="B71" s="73"/>
      <c r="C71" s="73"/>
      <c r="D71" s="74">
        <v>9</v>
      </c>
      <c r="E71" s="73" t="s">
        <v>43</v>
      </c>
      <c r="F71" s="73"/>
      <c r="G71" s="73">
        <v>400</v>
      </c>
      <c r="H71" s="64">
        <v>1</v>
      </c>
      <c r="I71" s="64">
        <v>9</v>
      </c>
      <c r="J71" s="64">
        <f>I71*60</f>
        <v>540</v>
      </c>
      <c r="K71" s="61">
        <f>G71/I71</f>
        <v>44.444444444444443</v>
      </c>
      <c r="L71" s="61">
        <f>G71/J71</f>
        <v>0.7407407407407407</v>
      </c>
      <c r="M71" s="63">
        <f>G71/H71</f>
        <v>400</v>
      </c>
      <c r="N71" s="62">
        <v>115019</v>
      </c>
      <c r="O71" s="61">
        <f>N71/M71</f>
        <v>287.54750000000001</v>
      </c>
      <c r="R71" s="60">
        <v>1</v>
      </c>
      <c r="S71" s="60"/>
      <c r="T71" s="60">
        <v>1</v>
      </c>
      <c r="U71" s="60">
        <v>30</v>
      </c>
      <c r="V71" s="59">
        <f>(L71/H71)*T71*((R71*60)+S71)</f>
        <v>44.444444444444443</v>
      </c>
      <c r="W71" s="59">
        <f>IF((V71-U71)&gt;0,(V71-U71)*O71,0)</f>
        <v>4153.4638888888885</v>
      </c>
      <c r="X71" s="59">
        <f>IFERROR(MROUND(W71/T71,500),0)</f>
        <v>4000</v>
      </c>
    </row>
    <row r="72" spans="1:24" ht="14.25" customHeight="1" x14ac:dyDescent="0.25">
      <c r="A72" s="62" t="s">
        <v>75</v>
      </c>
      <c r="B72" s="73"/>
      <c r="C72" s="73"/>
      <c r="D72" s="74">
        <v>12</v>
      </c>
      <c r="E72" s="73" t="s">
        <v>43</v>
      </c>
      <c r="F72" s="73"/>
      <c r="G72" s="73">
        <v>500</v>
      </c>
      <c r="H72" s="64">
        <v>1</v>
      </c>
      <c r="I72" s="64">
        <v>9</v>
      </c>
      <c r="J72" s="64">
        <f>I72*60</f>
        <v>540</v>
      </c>
      <c r="K72" s="61">
        <f>G72/I72</f>
        <v>55.555555555555557</v>
      </c>
      <c r="L72" s="61">
        <f>G72/J72</f>
        <v>0.92592592592592593</v>
      </c>
      <c r="M72" s="63">
        <f>G72/H72</f>
        <v>500</v>
      </c>
      <c r="N72" s="62">
        <v>115020</v>
      </c>
      <c r="O72" s="61">
        <f>N72/M72</f>
        <v>230.04</v>
      </c>
      <c r="R72" s="60"/>
      <c r="S72" s="60"/>
      <c r="T72" s="60">
        <v>1</v>
      </c>
      <c r="U72" s="60"/>
      <c r="V72" s="59">
        <f>(L72/H72)*T72*((R72*60)+S72)</f>
        <v>0</v>
      </c>
      <c r="W72" s="59">
        <f>IF((V72-U72)&gt;0,(V72-U72)*O72,0)</f>
        <v>0</v>
      </c>
      <c r="X72" s="59">
        <f>IFERROR(MROUND(W72/T72,500),0)</f>
        <v>0</v>
      </c>
    </row>
    <row r="73" spans="1:24" ht="14.25" customHeight="1" x14ac:dyDescent="0.25">
      <c r="A73" s="62" t="s">
        <v>75</v>
      </c>
      <c r="B73" s="73"/>
      <c r="C73" s="73"/>
      <c r="D73" s="74">
        <v>15</v>
      </c>
      <c r="E73" s="73" t="s">
        <v>43</v>
      </c>
      <c r="F73" s="73"/>
      <c r="G73" s="73">
        <v>330</v>
      </c>
      <c r="H73" s="64">
        <v>1</v>
      </c>
      <c r="I73" s="64">
        <v>9</v>
      </c>
      <c r="J73" s="64">
        <f>I73*60</f>
        <v>540</v>
      </c>
      <c r="K73" s="61">
        <f>G73/I73</f>
        <v>36.666666666666664</v>
      </c>
      <c r="L73" s="61">
        <f>G73/J73</f>
        <v>0.61111111111111116</v>
      </c>
      <c r="M73" s="63">
        <f>G73/H73</f>
        <v>330</v>
      </c>
      <c r="N73" s="62">
        <v>115021</v>
      </c>
      <c r="O73" s="61">
        <f>N73/M73</f>
        <v>348.54848484848486</v>
      </c>
      <c r="R73" s="60"/>
      <c r="S73" s="60"/>
      <c r="T73" s="60">
        <v>1</v>
      </c>
      <c r="U73" s="60"/>
      <c r="V73" s="59">
        <f>(L73/H73)*T73*((R73*60)+S73)</f>
        <v>0</v>
      </c>
      <c r="W73" s="59">
        <f>IF((V73-U73)&gt;0,(V73-U73)*O73,0)</f>
        <v>0</v>
      </c>
      <c r="X73" s="59">
        <f>IFERROR(MROUND(W73/T73,500),0)</f>
        <v>0</v>
      </c>
    </row>
    <row r="74" spans="1:24" ht="14.25" customHeight="1" x14ac:dyDescent="0.25">
      <c r="A74" s="62" t="s">
        <v>75</v>
      </c>
      <c r="B74" s="73"/>
      <c r="C74" s="73"/>
      <c r="D74" s="74">
        <v>18</v>
      </c>
      <c r="E74" s="73" t="s">
        <v>43</v>
      </c>
      <c r="F74" s="73"/>
      <c r="G74" s="73">
        <v>330</v>
      </c>
      <c r="H74" s="64">
        <v>1</v>
      </c>
      <c r="I74" s="64">
        <v>9</v>
      </c>
      <c r="J74" s="64">
        <f>I74*60</f>
        <v>540</v>
      </c>
      <c r="K74" s="61">
        <f>G74/I74</f>
        <v>36.666666666666664</v>
      </c>
      <c r="L74" s="61">
        <f>G74/J74</f>
        <v>0.61111111111111116</v>
      </c>
      <c r="M74" s="63">
        <f>G74/H74</f>
        <v>330</v>
      </c>
      <c r="N74" s="62">
        <v>115022</v>
      </c>
      <c r="O74" s="61">
        <f>N74/M74</f>
        <v>348.55151515151516</v>
      </c>
      <c r="R74" s="60"/>
      <c r="S74" s="60"/>
      <c r="T74" s="60">
        <v>1</v>
      </c>
      <c r="U74" s="60"/>
      <c r="V74" s="59">
        <f>(L74/H74)*T74*((R74*60)+S74)</f>
        <v>0</v>
      </c>
      <c r="W74" s="59">
        <f>IF((V74-U74)&gt;0,(V74-U74)*O74,0)</f>
        <v>0</v>
      </c>
      <c r="X74" s="59">
        <f>IFERROR(MROUND(W74/T74,500),0)</f>
        <v>0</v>
      </c>
    </row>
    <row r="75" spans="1:24" ht="14.25" customHeight="1" x14ac:dyDescent="0.25">
      <c r="A75" s="62" t="s">
        <v>75</v>
      </c>
      <c r="B75" s="73"/>
      <c r="C75" s="73"/>
      <c r="D75" s="73">
        <v>19</v>
      </c>
      <c r="E75" s="73" t="s">
        <v>76</v>
      </c>
      <c r="F75" s="73"/>
      <c r="G75" s="73">
        <v>100</v>
      </c>
      <c r="H75" s="64">
        <v>1</v>
      </c>
      <c r="I75" s="64">
        <v>9</v>
      </c>
      <c r="J75" s="64">
        <f>I75*60</f>
        <v>540</v>
      </c>
      <c r="K75" s="61">
        <f>G75/I75</f>
        <v>11.111111111111111</v>
      </c>
      <c r="L75" s="61">
        <f>G75/J75</f>
        <v>0.18518518518518517</v>
      </c>
      <c r="M75" s="63">
        <f>G75/H75</f>
        <v>100</v>
      </c>
      <c r="N75" s="62">
        <v>115023</v>
      </c>
      <c r="O75" s="61">
        <f>N75/M75</f>
        <v>1150.23</v>
      </c>
      <c r="R75" s="60"/>
      <c r="S75" s="60"/>
      <c r="T75" s="60">
        <v>8</v>
      </c>
      <c r="U75" s="60"/>
      <c r="V75" s="59">
        <f>(L75/H75)*T75*((R75*60)+S75)</f>
        <v>0</v>
      </c>
      <c r="W75" s="59">
        <f>IF((V75-U75)&gt;0,(V75-U75)*O75,0)</f>
        <v>0</v>
      </c>
      <c r="X75" s="59">
        <f>IFERROR(MROUND(W75/T75,500),0)</f>
        <v>0</v>
      </c>
    </row>
    <row r="76" spans="1:24" ht="14.25" customHeight="1" x14ac:dyDescent="0.25">
      <c r="A76" s="62" t="s">
        <v>75</v>
      </c>
      <c r="B76" s="73"/>
      <c r="C76" s="73"/>
      <c r="D76" s="73">
        <v>18</v>
      </c>
      <c r="E76" s="73" t="s">
        <v>76</v>
      </c>
      <c r="F76" s="73"/>
      <c r="G76" s="73">
        <v>100</v>
      </c>
      <c r="H76" s="64">
        <v>1</v>
      </c>
      <c r="I76" s="64">
        <v>9</v>
      </c>
      <c r="J76" s="64">
        <f>I76*60</f>
        <v>540</v>
      </c>
      <c r="K76" s="61">
        <f>G76/I76</f>
        <v>11.111111111111111</v>
      </c>
      <c r="L76" s="61">
        <f>G76/J76</f>
        <v>0.18518518518518517</v>
      </c>
      <c r="M76" s="63">
        <f>G76/H76</f>
        <v>100</v>
      </c>
      <c r="N76" s="62">
        <v>115024</v>
      </c>
      <c r="O76" s="61">
        <f>N76/M76</f>
        <v>1150.24</v>
      </c>
      <c r="R76" s="60"/>
      <c r="S76" s="60"/>
      <c r="T76" s="60">
        <v>8</v>
      </c>
      <c r="U76" s="60"/>
      <c r="V76" s="59">
        <f>(L76/H76)*T76*((R76*60)+S76)</f>
        <v>0</v>
      </c>
      <c r="W76" s="59">
        <f>IF((V76-U76)&gt;0,(V76-U76)*O76,0)</f>
        <v>0</v>
      </c>
      <c r="X76" s="59">
        <f>IFERROR(MROUND(W76/T76,500),0)</f>
        <v>0</v>
      </c>
    </row>
    <row r="77" spans="1:24" ht="14.25" customHeight="1" x14ac:dyDescent="0.25">
      <c r="A77" s="62" t="s">
        <v>75</v>
      </c>
      <c r="B77" s="73"/>
      <c r="C77" s="73"/>
      <c r="D77" s="73">
        <v>8</v>
      </c>
      <c r="E77" s="73" t="s">
        <v>65</v>
      </c>
      <c r="F77" s="73"/>
      <c r="G77" s="73">
        <v>400</v>
      </c>
      <c r="H77" s="64">
        <v>1</v>
      </c>
      <c r="I77" s="64">
        <v>9</v>
      </c>
      <c r="J77" s="64">
        <f>I77*60</f>
        <v>540</v>
      </c>
      <c r="K77" s="61">
        <f>G77/I77</f>
        <v>44.444444444444443</v>
      </c>
      <c r="L77" s="61">
        <f>G77/J77</f>
        <v>0.7407407407407407</v>
      </c>
      <c r="M77" s="63">
        <f>G77/H77</f>
        <v>400</v>
      </c>
      <c r="N77" s="62">
        <v>115025</v>
      </c>
      <c r="O77" s="61">
        <f>N77/M77</f>
        <v>287.5625</v>
      </c>
      <c r="R77" s="60"/>
      <c r="S77" s="60"/>
      <c r="T77" s="60">
        <v>8</v>
      </c>
      <c r="U77" s="60"/>
      <c r="V77" s="59">
        <f>(L77/H77)*T77*((R77*60)+S77)</f>
        <v>0</v>
      </c>
      <c r="W77" s="59">
        <f>IF((V77-U77)&gt;0,(V77-U77)*O77,0)</f>
        <v>0</v>
      </c>
      <c r="X77" s="59">
        <f>IFERROR(MROUND(W77/T77,500),0)</f>
        <v>0</v>
      </c>
    </row>
    <row r="78" spans="1:24" ht="14.25" customHeight="1" x14ac:dyDescent="0.25">
      <c r="A78" s="62" t="s">
        <v>75</v>
      </c>
      <c r="B78" s="73"/>
      <c r="C78" s="73"/>
      <c r="D78" s="73">
        <v>9</v>
      </c>
      <c r="E78" s="73" t="s">
        <v>65</v>
      </c>
      <c r="F78" s="73"/>
      <c r="G78" s="73">
        <v>400</v>
      </c>
      <c r="H78" s="64">
        <v>1</v>
      </c>
      <c r="I78" s="64">
        <v>9</v>
      </c>
      <c r="J78" s="64">
        <f>I78*60</f>
        <v>540</v>
      </c>
      <c r="K78" s="61">
        <f>G78/I78</f>
        <v>44.444444444444443</v>
      </c>
      <c r="L78" s="61">
        <f>G78/J78</f>
        <v>0.7407407407407407</v>
      </c>
      <c r="M78" s="63">
        <f>G78/H78</f>
        <v>400</v>
      </c>
      <c r="N78" s="62">
        <v>115026</v>
      </c>
      <c r="O78" s="61">
        <f>N78/M78</f>
        <v>287.565</v>
      </c>
      <c r="R78" s="60"/>
      <c r="S78" s="60"/>
      <c r="T78" s="60">
        <v>8</v>
      </c>
      <c r="U78" s="60"/>
      <c r="V78" s="59">
        <f>(L78/H78)*T78*((R78*60)+S78)</f>
        <v>0</v>
      </c>
      <c r="W78" s="59">
        <f>IF((V78-U78)&gt;0,(V78-U78)*O78,0)</f>
        <v>0</v>
      </c>
      <c r="X78" s="59">
        <f>IFERROR(MROUND(W78/T78,500),0)</f>
        <v>0</v>
      </c>
    </row>
    <row r="79" spans="1:24" ht="14.25" customHeight="1" x14ac:dyDescent="0.25">
      <c r="A79" s="62" t="s">
        <v>75</v>
      </c>
      <c r="B79" s="73"/>
      <c r="C79" s="73"/>
      <c r="D79" s="73">
        <v>12</v>
      </c>
      <c r="E79" s="73" t="s">
        <v>65</v>
      </c>
      <c r="F79" s="73"/>
      <c r="G79" s="73">
        <v>400</v>
      </c>
      <c r="H79" s="64">
        <v>1</v>
      </c>
      <c r="I79" s="64">
        <v>9</v>
      </c>
      <c r="J79" s="64">
        <f>I79*60</f>
        <v>540</v>
      </c>
      <c r="K79" s="61">
        <f>G79/I79</f>
        <v>44.444444444444443</v>
      </c>
      <c r="L79" s="61">
        <f>G79/J79</f>
        <v>0.7407407407407407</v>
      </c>
      <c r="M79" s="63">
        <f>G79/H79</f>
        <v>400</v>
      </c>
      <c r="N79" s="62">
        <v>115027</v>
      </c>
      <c r="O79" s="61">
        <f>N79/M79</f>
        <v>287.5675</v>
      </c>
      <c r="R79" s="60"/>
      <c r="S79" s="60"/>
      <c r="T79" s="60">
        <v>8</v>
      </c>
      <c r="U79" s="60"/>
      <c r="V79" s="59">
        <f>(L79/H79)*T79*((R79*60)+S79)</f>
        <v>0</v>
      </c>
      <c r="W79" s="59">
        <f>IF((V79-U79)&gt;0,(V79-U79)*O79,0)</f>
        <v>0</v>
      </c>
      <c r="X79" s="59">
        <f>IFERROR(MROUND(W79/T79,500),0)</f>
        <v>0</v>
      </c>
    </row>
    <row r="80" spans="1:24" ht="14.25" customHeight="1" x14ac:dyDescent="0.25">
      <c r="A80" s="62" t="s">
        <v>75</v>
      </c>
      <c r="B80" s="73"/>
      <c r="C80" s="73"/>
      <c r="D80" s="73">
        <v>15</v>
      </c>
      <c r="E80" s="73" t="s">
        <v>65</v>
      </c>
      <c r="F80" s="73"/>
      <c r="G80" s="73">
        <v>300</v>
      </c>
      <c r="H80" s="64">
        <v>1</v>
      </c>
      <c r="I80" s="64">
        <v>9</v>
      </c>
      <c r="J80" s="64">
        <f>I80*60</f>
        <v>540</v>
      </c>
      <c r="K80" s="61">
        <f>G80/I80</f>
        <v>33.333333333333336</v>
      </c>
      <c r="L80" s="61">
        <f>G80/J80</f>
        <v>0.55555555555555558</v>
      </c>
      <c r="M80" s="63">
        <f>G80/H80</f>
        <v>300</v>
      </c>
      <c r="N80" s="62">
        <v>115028</v>
      </c>
      <c r="O80" s="61">
        <f>N80/M80</f>
        <v>383.42666666666668</v>
      </c>
      <c r="R80" s="60"/>
      <c r="S80" s="60"/>
      <c r="T80" s="60">
        <v>8</v>
      </c>
      <c r="U80" s="60"/>
      <c r="V80" s="59">
        <f>(L80/H80)*T80*((R80*60)+S80)</f>
        <v>0</v>
      </c>
      <c r="W80" s="59">
        <f>IF((V80-U80)&gt;0,(V80-U80)*O80,0)</f>
        <v>0</v>
      </c>
      <c r="X80" s="59">
        <f>IFERROR(MROUND(W80/T80,500),0)</f>
        <v>0</v>
      </c>
    </row>
    <row r="81" spans="1:24" ht="14.25" customHeight="1" x14ac:dyDescent="0.25">
      <c r="A81" s="62" t="s">
        <v>75</v>
      </c>
      <c r="B81" s="73"/>
      <c r="C81" s="73"/>
      <c r="D81" s="73">
        <v>18</v>
      </c>
      <c r="E81" s="73" t="s">
        <v>65</v>
      </c>
      <c r="F81" s="73"/>
      <c r="G81" s="73">
        <v>300</v>
      </c>
      <c r="H81" s="64">
        <v>1</v>
      </c>
      <c r="I81" s="64">
        <v>9</v>
      </c>
      <c r="J81" s="64">
        <f>I81*60</f>
        <v>540</v>
      </c>
      <c r="K81" s="61">
        <f>G81/I81</f>
        <v>33.333333333333336</v>
      </c>
      <c r="L81" s="61">
        <f>G81/J81</f>
        <v>0.55555555555555558</v>
      </c>
      <c r="M81" s="63">
        <f>G81/H81</f>
        <v>300</v>
      </c>
      <c r="N81" s="62">
        <v>115029</v>
      </c>
      <c r="O81" s="61">
        <f>N81/M81</f>
        <v>383.43</v>
      </c>
      <c r="R81" s="60"/>
      <c r="S81" s="60"/>
      <c r="T81" s="60">
        <v>8</v>
      </c>
      <c r="U81" s="60"/>
      <c r="V81" s="59">
        <f>(L81/H81)*T81*((R81*60)+S81)</f>
        <v>0</v>
      </c>
      <c r="W81" s="59">
        <f>IF((V81-U81)&gt;0,(V81-U81)*O81,0)</f>
        <v>0</v>
      </c>
      <c r="X81" s="59">
        <f>IFERROR(MROUND(W81/T81,500),0)</f>
        <v>0</v>
      </c>
    </row>
    <row r="82" spans="1:24" ht="14.25" customHeight="1" x14ac:dyDescent="0.25">
      <c r="A82" s="62" t="s">
        <v>75</v>
      </c>
      <c r="B82" s="73"/>
      <c r="C82" s="73"/>
      <c r="D82" s="74">
        <v>12</v>
      </c>
      <c r="E82" s="73" t="s">
        <v>74</v>
      </c>
      <c r="F82" s="73"/>
      <c r="G82" s="73">
        <v>100</v>
      </c>
      <c r="H82" s="64">
        <v>1</v>
      </c>
      <c r="I82" s="64">
        <v>9</v>
      </c>
      <c r="J82" s="64">
        <f>I82*60</f>
        <v>540</v>
      </c>
      <c r="K82" s="61">
        <f>G82/I82</f>
        <v>11.111111111111111</v>
      </c>
      <c r="L82" s="61">
        <f>G82/J82</f>
        <v>0.18518518518518517</v>
      </c>
      <c r="M82" s="63">
        <f>G82/H82</f>
        <v>100</v>
      </c>
      <c r="N82" s="62">
        <v>115030</v>
      </c>
      <c r="O82" s="61">
        <f>N82/M82</f>
        <v>1150.3</v>
      </c>
      <c r="R82" s="60"/>
      <c r="S82" s="60"/>
      <c r="T82" s="60">
        <v>1</v>
      </c>
      <c r="U82" s="60"/>
      <c r="V82" s="59">
        <f>(L82/H82)*T82*((R82*60)+S82)</f>
        <v>0</v>
      </c>
      <c r="W82" s="59">
        <f>IF((V82-U82)&gt;0,(V82-U82)*O82,0)</f>
        <v>0</v>
      </c>
      <c r="X82" s="59">
        <f>IFERROR(MROUND(W82/T82,500),0)</f>
        <v>0</v>
      </c>
    </row>
    <row r="83" spans="1:24" ht="14.25" customHeight="1" x14ac:dyDescent="0.25">
      <c r="A83" s="62" t="s">
        <v>73</v>
      </c>
      <c r="B83" s="73"/>
      <c r="C83" s="73"/>
      <c r="D83" s="73"/>
      <c r="E83" s="73"/>
      <c r="F83" s="73"/>
      <c r="G83" s="73">
        <v>18</v>
      </c>
      <c r="H83" s="64">
        <v>1</v>
      </c>
      <c r="I83" s="64">
        <v>9</v>
      </c>
      <c r="J83" s="64">
        <f>I83*60</f>
        <v>540</v>
      </c>
      <c r="K83" s="61">
        <f>G83/I83</f>
        <v>2</v>
      </c>
      <c r="L83" s="61">
        <f>G83/J83</f>
        <v>3.3333333333333333E-2</v>
      </c>
      <c r="M83" s="63">
        <f>G83/H83</f>
        <v>18</v>
      </c>
      <c r="N83" s="62">
        <v>115031</v>
      </c>
      <c r="O83" s="61">
        <f>N83/M83</f>
        <v>6390.6111111111113</v>
      </c>
      <c r="R83" s="60"/>
      <c r="S83" s="60"/>
      <c r="T83" s="60">
        <v>8</v>
      </c>
      <c r="U83" s="60"/>
      <c r="V83" s="59">
        <f>(L83/H83)*T83*((R83*60)+S83)</f>
        <v>0</v>
      </c>
      <c r="W83" s="59">
        <f>IF((V83-U83)&gt;0,(V83-U83)*O83,0)</f>
        <v>0</v>
      </c>
      <c r="X83" s="59">
        <f>IFERROR(MROUND(W83/T83,500),0)</f>
        <v>0</v>
      </c>
    </row>
    <row r="84" spans="1:24" x14ac:dyDescent="0.25">
      <c r="A84" s="73" t="s">
        <v>46</v>
      </c>
      <c r="B84" s="73"/>
      <c r="C84" s="73"/>
      <c r="D84" s="73">
        <v>3</v>
      </c>
      <c r="E84" s="73" t="s">
        <v>39</v>
      </c>
      <c r="F84" s="73" t="s">
        <v>72</v>
      </c>
      <c r="G84" s="73">
        <v>3700</v>
      </c>
      <c r="H84" s="73">
        <v>32</v>
      </c>
      <c r="I84" s="64">
        <v>10</v>
      </c>
      <c r="J84" s="64">
        <f>I84*60</f>
        <v>600</v>
      </c>
      <c r="K84" s="61">
        <f>G84/I84</f>
        <v>370</v>
      </c>
      <c r="L84" s="61">
        <f>G84/J84</f>
        <v>6.166666666666667</v>
      </c>
      <c r="M84" s="63">
        <f>G84/H84</f>
        <v>115.625</v>
      </c>
      <c r="N84" s="62">
        <v>115000</v>
      </c>
      <c r="O84" s="61">
        <f>N84/I86</f>
        <v>11500</v>
      </c>
      <c r="R84" s="60"/>
      <c r="S84" s="60"/>
      <c r="T84" s="60">
        <v>33</v>
      </c>
      <c r="U84" s="60"/>
      <c r="V84" s="59">
        <f>(L84/H84)*T84*((R84*60)+S84)</f>
        <v>0</v>
      </c>
      <c r="W84" s="59">
        <f>IF((V84-U84)&gt;0,(V84-U84)*O84,0)</f>
        <v>0</v>
      </c>
      <c r="X84" s="59">
        <f>IFERROR(MROUND(W84/T84,500),0)</f>
        <v>0</v>
      </c>
    </row>
    <row r="85" spans="1:24" x14ac:dyDescent="0.25">
      <c r="A85" s="73" t="s">
        <v>46</v>
      </c>
      <c r="B85" s="73"/>
      <c r="C85" s="73"/>
      <c r="D85" s="73">
        <v>5</v>
      </c>
      <c r="E85" s="73" t="s">
        <v>39</v>
      </c>
      <c r="F85" s="73" t="s">
        <v>65</v>
      </c>
      <c r="G85" s="73">
        <v>3600</v>
      </c>
      <c r="H85" s="73">
        <v>32</v>
      </c>
      <c r="I85" s="64">
        <v>10</v>
      </c>
      <c r="J85" s="64">
        <f>I85*60</f>
        <v>600</v>
      </c>
      <c r="K85" s="61">
        <f>G85/I85</f>
        <v>360</v>
      </c>
      <c r="L85" s="61">
        <f>G85/J85</f>
        <v>6</v>
      </c>
      <c r="M85" s="63">
        <f>G85/H85</f>
        <v>112.5</v>
      </c>
      <c r="N85" s="62">
        <v>115000</v>
      </c>
      <c r="O85" s="61">
        <f>N85/I86</f>
        <v>11500</v>
      </c>
      <c r="R85" s="60">
        <v>7</v>
      </c>
      <c r="S85" s="60"/>
      <c r="T85" s="60">
        <v>32</v>
      </c>
      <c r="U85" s="60">
        <v>2412</v>
      </c>
      <c r="V85" s="59">
        <f>(L85/H85)*T85*((R85*60)+S85)</f>
        <v>2520</v>
      </c>
      <c r="W85" s="59">
        <f>IF((V85-U85)&gt;0,(V85-U85)*O85,0)</f>
        <v>1242000</v>
      </c>
      <c r="X85" s="59">
        <f>IFERROR(MROUND(W85/T85,500),0)</f>
        <v>39000</v>
      </c>
    </row>
    <row r="86" spans="1:24" x14ac:dyDescent="0.25">
      <c r="A86" s="73" t="s">
        <v>46</v>
      </c>
      <c r="B86" s="73"/>
      <c r="C86" s="73"/>
      <c r="D86" s="73">
        <v>6</v>
      </c>
      <c r="E86" s="73" t="s">
        <v>39</v>
      </c>
      <c r="F86" s="73" t="s">
        <v>47</v>
      </c>
      <c r="G86" s="73">
        <v>1500</v>
      </c>
      <c r="H86" s="73">
        <v>32</v>
      </c>
      <c r="I86" s="64">
        <v>10</v>
      </c>
      <c r="J86" s="64">
        <f>I86*60</f>
        <v>600</v>
      </c>
      <c r="K86" s="61">
        <f>G86/I86</f>
        <v>150</v>
      </c>
      <c r="L86" s="61">
        <f>G86/J86</f>
        <v>2.5</v>
      </c>
      <c r="M86" s="63">
        <f>G86/H86</f>
        <v>46.875</v>
      </c>
      <c r="N86" s="62">
        <v>115000</v>
      </c>
      <c r="O86" s="61">
        <f>N86/I87</f>
        <v>11500</v>
      </c>
      <c r="R86" s="60"/>
      <c r="S86" s="60"/>
      <c r="T86" s="60">
        <v>36</v>
      </c>
      <c r="U86" s="60"/>
      <c r="V86" s="59">
        <f>(L86/H86)*T86*((R86*60)+S86)</f>
        <v>0</v>
      </c>
      <c r="W86" s="59">
        <f>IF((V86-U86)&gt;0,(V86-U86)*O86,0)</f>
        <v>0</v>
      </c>
      <c r="X86" s="59">
        <f>IFERROR(MROUND(W86/T86,500),0)</f>
        <v>0</v>
      </c>
    </row>
    <row r="87" spans="1:24" x14ac:dyDescent="0.25">
      <c r="A87" s="73" t="s">
        <v>46</v>
      </c>
      <c r="B87" s="73"/>
      <c r="C87" s="73"/>
      <c r="D87" s="73">
        <v>8</v>
      </c>
      <c r="E87" s="73" t="s">
        <v>39</v>
      </c>
      <c r="F87" s="73" t="s">
        <v>47</v>
      </c>
      <c r="G87" s="73">
        <v>1300</v>
      </c>
      <c r="H87" s="73">
        <v>32</v>
      </c>
      <c r="I87" s="64">
        <v>10</v>
      </c>
      <c r="J87" s="64">
        <f>I87*60</f>
        <v>600</v>
      </c>
      <c r="K87" s="61">
        <f>G87/I87</f>
        <v>130</v>
      </c>
      <c r="L87" s="61">
        <f>G87/J87</f>
        <v>2.1666666666666665</v>
      </c>
      <c r="M87" s="63">
        <f>G87/H87</f>
        <v>40.625</v>
      </c>
      <c r="N87" s="62">
        <v>115033</v>
      </c>
      <c r="O87" s="61">
        <f>N87/M87</f>
        <v>2831.5815384615385</v>
      </c>
      <c r="R87" s="60"/>
      <c r="S87" s="60"/>
      <c r="T87" s="60">
        <v>29</v>
      </c>
      <c r="U87" s="60"/>
      <c r="V87" s="59">
        <f>(L87/H87)*T87*((R87*60)+S87)</f>
        <v>0</v>
      </c>
      <c r="W87" s="59">
        <f>IF((V87-U87)&gt;0,(V87-U87)*O87,0)</f>
        <v>0</v>
      </c>
      <c r="X87" s="59">
        <f>IFERROR(MROUND(W87/T87,500),0)</f>
        <v>0</v>
      </c>
    </row>
    <row r="88" spans="1:24" x14ac:dyDescent="0.25">
      <c r="A88" s="73" t="s">
        <v>46</v>
      </c>
      <c r="B88" s="73"/>
      <c r="C88" s="73"/>
      <c r="D88" s="73">
        <v>9</v>
      </c>
      <c r="E88" s="73" t="s">
        <v>39</v>
      </c>
      <c r="F88" s="73" t="s">
        <v>47</v>
      </c>
      <c r="G88" s="73">
        <v>1200</v>
      </c>
      <c r="H88" s="73">
        <v>32</v>
      </c>
      <c r="I88" s="64">
        <v>10</v>
      </c>
      <c r="J88" s="64">
        <f>I88*60</f>
        <v>600</v>
      </c>
      <c r="K88" s="61">
        <f>G88/I88</f>
        <v>120</v>
      </c>
      <c r="L88" s="61">
        <f>G88/J88</f>
        <v>2</v>
      </c>
      <c r="M88" s="63">
        <f>G88/H88</f>
        <v>37.5</v>
      </c>
      <c r="N88" s="62">
        <v>115034</v>
      </c>
      <c r="O88" s="61">
        <f>N88/M88</f>
        <v>3067.5733333333333</v>
      </c>
      <c r="R88" s="60"/>
      <c r="S88" s="60"/>
      <c r="T88" s="60">
        <v>30</v>
      </c>
      <c r="U88" s="60"/>
      <c r="V88" s="59">
        <f>(L88/H88)*T88*((R88*60)+S88)</f>
        <v>0</v>
      </c>
      <c r="W88" s="59">
        <f>IF((V88-U88)&gt;0,(V88-U88)*O88,0)</f>
        <v>0</v>
      </c>
      <c r="X88" s="59">
        <f>IFERROR(MROUND(W88/T88,500),0)</f>
        <v>0</v>
      </c>
    </row>
    <row r="89" spans="1:24" x14ac:dyDescent="0.25">
      <c r="A89" s="73" t="s">
        <v>46</v>
      </c>
      <c r="B89" s="73"/>
      <c r="C89" s="73"/>
      <c r="D89" s="73">
        <v>12</v>
      </c>
      <c r="E89" s="73" t="s">
        <v>39</v>
      </c>
      <c r="F89" s="73" t="s">
        <v>47</v>
      </c>
      <c r="G89" s="73">
        <v>1000</v>
      </c>
      <c r="H89" s="73">
        <v>32</v>
      </c>
      <c r="I89" s="64">
        <v>10</v>
      </c>
      <c r="J89" s="64">
        <f>I89*60</f>
        <v>600</v>
      </c>
      <c r="K89" s="61">
        <f>G89/I89</f>
        <v>100</v>
      </c>
      <c r="L89" s="61">
        <f>G89/J89</f>
        <v>1.6666666666666667</v>
      </c>
      <c r="M89" s="63">
        <f>G89/H89</f>
        <v>31.25</v>
      </c>
      <c r="N89" s="62">
        <v>115035</v>
      </c>
      <c r="O89" s="61">
        <f>N89/M89</f>
        <v>3681.12</v>
      </c>
      <c r="R89" s="60"/>
      <c r="S89" s="60"/>
      <c r="T89" s="60">
        <v>31</v>
      </c>
      <c r="U89" s="60"/>
      <c r="V89" s="59">
        <f>(L89/H89)*T89*((R89*60)+S89)</f>
        <v>0</v>
      </c>
      <c r="W89" s="59">
        <f>IF((V89-U89)&gt;0,(V89-U89)*O89,0)</f>
        <v>0</v>
      </c>
      <c r="X89" s="59">
        <f>IFERROR(MROUND(W89/T89,500),0)</f>
        <v>0</v>
      </c>
    </row>
    <row r="90" spans="1:24" x14ac:dyDescent="0.25">
      <c r="A90" s="73" t="s">
        <v>46</v>
      </c>
      <c r="B90" s="73"/>
      <c r="C90" s="73"/>
      <c r="D90" s="73">
        <v>15</v>
      </c>
      <c r="E90" s="73" t="s">
        <v>39</v>
      </c>
      <c r="F90" s="73" t="s">
        <v>47</v>
      </c>
      <c r="G90" s="73">
        <v>750</v>
      </c>
      <c r="H90" s="73">
        <v>32</v>
      </c>
      <c r="I90" s="64">
        <v>10</v>
      </c>
      <c r="J90" s="64">
        <f>I90*60</f>
        <v>600</v>
      </c>
      <c r="K90" s="61">
        <f>G90/I90</f>
        <v>75</v>
      </c>
      <c r="L90" s="61">
        <f>G90/J90</f>
        <v>1.25</v>
      </c>
      <c r="M90" s="63">
        <f>G90/H90</f>
        <v>23.4375</v>
      </c>
      <c r="N90" s="62">
        <v>115036</v>
      </c>
      <c r="O90" s="61">
        <f>N90/M90</f>
        <v>4908.202666666667</v>
      </c>
      <c r="R90" s="60"/>
      <c r="S90" s="60"/>
      <c r="T90" s="60">
        <v>30</v>
      </c>
      <c r="U90" s="60"/>
      <c r="V90" s="59">
        <f>(L90/H90)*T90*((R90*60)+S90)</f>
        <v>0</v>
      </c>
      <c r="W90" s="59">
        <f>IF((V90-U90)&gt;0,(V90-U90)*O90,0)</f>
        <v>0</v>
      </c>
      <c r="X90" s="59">
        <f>IFERROR(MROUND(W90/T90,500),0)</f>
        <v>0</v>
      </c>
    </row>
    <row r="91" spans="1:24" x14ac:dyDescent="0.25">
      <c r="A91" s="73" t="s">
        <v>46</v>
      </c>
      <c r="B91" s="73"/>
      <c r="C91" s="73"/>
      <c r="D91" s="73">
        <v>18</v>
      </c>
      <c r="E91" s="73" t="s">
        <v>39</v>
      </c>
      <c r="F91" s="73" t="s">
        <v>47</v>
      </c>
      <c r="G91" s="73">
        <v>700</v>
      </c>
      <c r="H91" s="73">
        <v>32</v>
      </c>
      <c r="I91" s="64">
        <v>10</v>
      </c>
      <c r="J91" s="64">
        <f>I91*60</f>
        <v>600</v>
      </c>
      <c r="K91" s="61">
        <f>G91/I91</f>
        <v>70</v>
      </c>
      <c r="L91" s="61">
        <f>G91/J91</f>
        <v>1.1666666666666667</v>
      </c>
      <c r="M91" s="63">
        <f>G91/H91</f>
        <v>21.875</v>
      </c>
      <c r="N91" s="62">
        <v>115037</v>
      </c>
      <c r="O91" s="61">
        <f>N91/M91</f>
        <v>5258.8342857142861</v>
      </c>
      <c r="R91" s="60">
        <v>10</v>
      </c>
      <c r="S91" s="60"/>
      <c r="T91" s="60">
        <v>28</v>
      </c>
      <c r="U91" s="60">
        <v>621</v>
      </c>
      <c r="V91" s="59">
        <f>(L91/H91)*T91*((R91*60)+S91)</f>
        <v>612.50000000000011</v>
      </c>
      <c r="W91" s="59">
        <f>IF((V91-U91)&gt;0,(V91-U91)*O91,0)</f>
        <v>0</v>
      </c>
      <c r="X91" s="59">
        <f>IFERROR(MROUND(W91/T91,500),0)</f>
        <v>0</v>
      </c>
    </row>
    <row r="92" spans="1:24" ht="14.25" customHeight="1" x14ac:dyDescent="0.25">
      <c r="A92" s="73" t="s">
        <v>71</v>
      </c>
      <c r="B92" s="73"/>
      <c r="C92" s="73"/>
      <c r="D92" s="73"/>
      <c r="E92" s="73"/>
      <c r="F92" s="73" t="s">
        <v>68</v>
      </c>
      <c r="G92" s="73">
        <v>1700</v>
      </c>
      <c r="H92" s="73">
        <v>32</v>
      </c>
      <c r="I92" s="64">
        <v>10</v>
      </c>
      <c r="J92" s="64">
        <f>I92*60</f>
        <v>600</v>
      </c>
      <c r="K92" s="61">
        <f>G92/I92</f>
        <v>170</v>
      </c>
      <c r="L92" s="61">
        <f>G92/J92</f>
        <v>2.8333333333333335</v>
      </c>
      <c r="M92" s="63">
        <f>G92/H92</f>
        <v>53.125</v>
      </c>
      <c r="N92" s="62">
        <v>115038</v>
      </c>
      <c r="O92" s="61">
        <f>N92/M92</f>
        <v>2165.4211764705883</v>
      </c>
      <c r="R92" s="60">
        <v>1</v>
      </c>
      <c r="S92" s="60"/>
      <c r="T92" s="60">
        <v>28</v>
      </c>
      <c r="U92" s="60">
        <v>202</v>
      </c>
      <c r="V92" s="59">
        <f>(L92/H92)*T92*((R92*60)+S92)</f>
        <v>148.75000000000003</v>
      </c>
      <c r="W92" s="59">
        <f>IF((V92-U92)&gt;0,(V92-U92)*O92,0)</f>
        <v>0</v>
      </c>
      <c r="X92" s="59">
        <f>IFERROR(MROUND(W92/T92,500),0)</f>
        <v>0</v>
      </c>
    </row>
    <row r="93" spans="1:24" ht="14.25" customHeight="1" x14ac:dyDescent="0.25">
      <c r="A93" s="73" t="s">
        <v>70</v>
      </c>
      <c r="B93" s="73"/>
      <c r="C93" s="73"/>
      <c r="D93" s="73">
        <v>12</v>
      </c>
      <c r="E93" s="73" t="s">
        <v>39</v>
      </c>
      <c r="F93" s="73" t="s">
        <v>69</v>
      </c>
      <c r="G93" s="73">
        <v>450</v>
      </c>
      <c r="H93" s="73">
        <v>32</v>
      </c>
      <c r="I93" s="64">
        <v>10</v>
      </c>
      <c r="J93" s="64">
        <f>I93*60</f>
        <v>600</v>
      </c>
      <c r="K93" s="61">
        <f>G93/I93</f>
        <v>45</v>
      </c>
      <c r="L93" s="61">
        <f>G93/J93</f>
        <v>0.75</v>
      </c>
      <c r="M93" s="63">
        <f>G93/H93</f>
        <v>14.0625</v>
      </c>
      <c r="N93" s="62">
        <v>115039</v>
      </c>
      <c r="O93" s="61">
        <f>N93/M93</f>
        <v>8180.5511111111109</v>
      </c>
      <c r="R93" s="60"/>
      <c r="S93" s="60"/>
      <c r="T93" s="60">
        <v>36</v>
      </c>
      <c r="U93" s="60"/>
      <c r="V93" s="59">
        <f>(L93/H93)*T93*((R93*60)+S93)</f>
        <v>0</v>
      </c>
      <c r="W93" s="59">
        <f>IF((V93-U93)&gt;0,(V93-U93)*O93,0)</f>
        <v>0</v>
      </c>
      <c r="X93" s="59">
        <f>IFERROR(MROUND(W93/T93,500),0)</f>
        <v>0</v>
      </c>
    </row>
    <row r="94" spans="1:24" ht="14.25" customHeight="1" x14ac:dyDescent="0.25">
      <c r="A94" s="73" t="s">
        <v>46</v>
      </c>
      <c r="B94" s="73"/>
      <c r="C94" s="73"/>
      <c r="D94" s="73">
        <v>15</v>
      </c>
      <c r="E94" s="73" t="s">
        <v>39</v>
      </c>
      <c r="F94" s="73" t="s">
        <v>65</v>
      </c>
      <c r="G94" s="73">
        <v>500</v>
      </c>
      <c r="H94" s="73">
        <v>32</v>
      </c>
      <c r="I94" s="64">
        <v>10</v>
      </c>
      <c r="J94" s="64">
        <f>I94*60</f>
        <v>600</v>
      </c>
      <c r="K94" s="61">
        <f>G94/I94</f>
        <v>50</v>
      </c>
      <c r="L94" s="61">
        <f>G94/J94</f>
        <v>0.83333333333333337</v>
      </c>
      <c r="M94" s="63">
        <f>G94/H94</f>
        <v>15.625</v>
      </c>
      <c r="N94" s="62">
        <v>115040</v>
      </c>
      <c r="O94" s="61">
        <f>N94/M94</f>
        <v>7362.56</v>
      </c>
      <c r="R94" s="60"/>
      <c r="S94" s="60"/>
      <c r="T94" s="60">
        <v>8</v>
      </c>
      <c r="U94" s="60"/>
      <c r="V94" s="59">
        <f>(L94/H94)*T94*((R94*60)+S94)</f>
        <v>0</v>
      </c>
      <c r="W94" s="59">
        <f>IF((V94-U94)&gt;0,(V94-U94)*O94,0)</f>
        <v>0</v>
      </c>
      <c r="X94" s="59">
        <f>IFERROR(MROUND(W94/T94,500),0)</f>
        <v>0</v>
      </c>
    </row>
    <row r="95" spans="1:24" ht="14.25" customHeight="1" x14ac:dyDescent="0.25">
      <c r="A95" s="73" t="s">
        <v>46</v>
      </c>
      <c r="B95" s="73"/>
      <c r="C95" s="73"/>
      <c r="D95" s="73">
        <v>18</v>
      </c>
      <c r="E95" s="73" t="s">
        <v>39</v>
      </c>
      <c r="F95" s="73" t="s">
        <v>65</v>
      </c>
      <c r="G95" s="73">
        <v>500</v>
      </c>
      <c r="H95" s="73">
        <v>32</v>
      </c>
      <c r="I95" s="64">
        <v>10</v>
      </c>
      <c r="J95" s="64">
        <f>I95*60</f>
        <v>600</v>
      </c>
      <c r="K95" s="61">
        <f>G95/I95</f>
        <v>50</v>
      </c>
      <c r="L95" s="61">
        <f>G95/J95</f>
        <v>0.83333333333333337</v>
      </c>
      <c r="M95" s="63">
        <f>G95/H95</f>
        <v>15.625</v>
      </c>
      <c r="N95" s="62">
        <v>115041</v>
      </c>
      <c r="O95" s="61">
        <f>N95/M95</f>
        <v>7362.6239999999998</v>
      </c>
      <c r="R95" s="60"/>
      <c r="S95" s="60"/>
      <c r="T95" s="60">
        <v>8</v>
      </c>
      <c r="U95" s="60"/>
      <c r="V95" s="59">
        <f>(L95/H95)*T95*((R95*60)+S95)</f>
        <v>0</v>
      </c>
      <c r="W95" s="59">
        <f>IF((V95-U95)&gt;0,(V95-U95)*O95,0)</f>
        <v>0</v>
      </c>
      <c r="X95" s="59">
        <f>IFERROR(MROUND(W95/T95,500),0)</f>
        <v>0</v>
      </c>
    </row>
    <row r="96" spans="1:24" ht="14.25" customHeight="1" x14ac:dyDescent="0.25">
      <c r="A96" s="73" t="s">
        <v>46</v>
      </c>
      <c r="B96" s="73"/>
      <c r="C96" s="73"/>
      <c r="D96" s="73">
        <v>5</v>
      </c>
      <c r="E96" s="73" t="s">
        <v>43</v>
      </c>
      <c r="F96" s="73" t="s">
        <v>68</v>
      </c>
      <c r="G96" s="73">
        <v>3000</v>
      </c>
      <c r="H96" s="73">
        <v>32</v>
      </c>
      <c r="I96" s="64">
        <v>10</v>
      </c>
      <c r="J96" s="64">
        <f>I96*60</f>
        <v>600</v>
      </c>
      <c r="K96" s="61">
        <f>G96/I96</f>
        <v>300</v>
      </c>
      <c r="L96" s="61">
        <f>G96/J96</f>
        <v>5</v>
      </c>
      <c r="M96" s="63">
        <f>G96/H96</f>
        <v>93.75</v>
      </c>
      <c r="N96" s="62">
        <v>115032</v>
      </c>
      <c r="O96" s="61">
        <f>N96/M96</f>
        <v>1227.008</v>
      </c>
      <c r="R96" s="60"/>
      <c r="S96" s="60"/>
      <c r="T96" s="60">
        <v>8</v>
      </c>
      <c r="U96" s="60"/>
      <c r="V96" s="59">
        <f>(L96/H96)*T96*((R96*60)+S96)</f>
        <v>0</v>
      </c>
      <c r="W96" s="59">
        <f>IF((V96-U96)&gt;0,(V96-U96)*O96,0)</f>
        <v>0</v>
      </c>
      <c r="X96" s="59">
        <f>IFERROR(MROUND(W96/T96,500),0)</f>
        <v>0</v>
      </c>
    </row>
    <row r="97" spans="1:24" ht="14.25" customHeight="1" x14ac:dyDescent="0.25">
      <c r="A97" s="73" t="s">
        <v>46</v>
      </c>
      <c r="B97" s="73"/>
      <c r="C97" s="73"/>
      <c r="D97" s="73">
        <v>8</v>
      </c>
      <c r="E97" s="73" t="s">
        <v>43</v>
      </c>
      <c r="F97" s="73" t="s">
        <v>47</v>
      </c>
      <c r="G97" s="73">
        <v>1300</v>
      </c>
      <c r="H97" s="73">
        <v>32</v>
      </c>
      <c r="I97" s="64">
        <v>10</v>
      </c>
      <c r="J97" s="64">
        <f>I97*60</f>
        <v>600</v>
      </c>
      <c r="K97" s="61">
        <f>G97/I97</f>
        <v>130</v>
      </c>
      <c r="L97" s="61">
        <f>G97/J97</f>
        <v>2.1666666666666665</v>
      </c>
      <c r="M97" s="63">
        <f>G97/H97</f>
        <v>40.625</v>
      </c>
      <c r="N97" s="62">
        <v>115033</v>
      </c>
      <c r="O97" s="61">
        <f>N97/M97</f>
        <v>2831.5815384615385</v>
      </c>
      <c r="R97" s="60"/>
      <c r="S97" s="60"/>
      <c r="T97" s="60">
        <v>8</v>
      </c>
      <c r="U97" s="60"/>
      <c r="V97" s="59">
        <f>(L97/H97)*T97*((R97*60)+S97)</f>
        <v>0</v>
      </c>
      <c r="W97" s="59">
        <f>IF((V97-U97)&gt;0,(V97-U97)*O97,0)</f>
        <v>0</v>
      </c>
      <c r="X97" s="59">
        <f>IFERROR(MROUND(W97/T97,500),0)</f>
        <v>0</v>
      </c>
    </row>
    <row r="98" spans="1:24" ht="14.25" customHeight="1" x14ac:dyDescent="0.25">
      <c r="A98" s="73" t="s">
        <v>46</v>
      </c>
      <c r="B98" s="73"/>
      <c r="C98" s="73"/>
      <c r="D98" s="73">
        <v>9</v>
      </c>
      <c r="E98" s="73" t="s">
        <v>43</v>
      </c>
      <c r="F98" s="73" t="s">
        <v>47</v>
      </c>
      <c r="G98" s="73">
        <v>1200</v>
      </c>
      <c r="H98" s="73">
        <v>32</v>
      </c>
      <c r="I98" s="64">
        <v>10</v>
      </c>
      <c r="J98" s="64">
        <f>I98*60</f>
        <v>600</v>
      </c>
      <c r="K98" s="61">
        <f>G98/I98</f>
        <v>120</v>
      </c>
      <c r="L98" s="61">
        <f>G98/J98</f>
        <v>2</v>
      </c>
      <c r="M98" s="63">
        <f>G98/H98</f>
        <v>37.5</v>
      </c>
      <c r="N98" s="62">
        <v>115034</v>
      </c>
      <c r="O98" s="61">
        <f>N98/M98</f>
        <v>3067.5733333333333</v>
      </c>
      <c r="R98" s="60"/>
      <c r="S98" s="60"/>
      <c r="T98" s="60">
        <v>21</v>
      </c>
      <c r="U98" s="60"/>
      <c r="V98" s="59">
        <f>(L98/H98)*T98*((R98*60)+S98)</f>
        <v>0</v>
      </c>
      <c r="W98" s="59">
        <f>IF((V98-U98)&gt;0,(V98-U98)*O98,0)</f>
        <v>0</v>
      </c>
      <c r="X98" s="59">
        <f>IFERROR(MROUND(W98/T98,500),0)</f>
        <v>0</v>
      </c>
    </row>
    <row r="99" spans="1:24" ht="14.25" customHeight="1" x14ac:dyDescent="0.25">
      <c r="A99" s="73" t="s">
        <v>46</v>
      </c>
      <c r="B99" s="73"/>
      <c r="C99" s="73"/>
      <c r="D99" s="73">
        <v>12</v>
      </c>
      <c r="E99" s="73" t="s">
        <v>43</v>
      </c>
      <c r="F99" s="73" t="s">
        <v>47</v>
      </c>
      <c r="G99" s="73">
        <v>1000</v>
      </c>
      <c r="H99" s="73">
        <v>32</v>
      </c>
      <c r="I99" s="64">
        <v>10</v>
      </c>
      <c r="J99" s="64">
        <f>I99*60</f>
        <v>600</v>
      </c>
      <c r="K99" s="61">
        <f>G99/I99</f>
        <v>100</v>
      </c>
      <c r="L99" s="61">
        <f>G99/J99</f>
        <v>1.6666666666666667</v>
      </c>
      <c r="M99" s="63">
        <f>G99/H99</f>
        <v>31.25</v>
      </c>
      <c r="N99" s="62">
        <v>115035</v>
      </c>
      <c r="O99" s="61">
        <f>N99/M99</f>
        <v>3681.12</v>
      </c>
      <c r="R99" s="60"/>
      <c r="S99" s="60"/>
      <c r="T99" s="60">
        <v>8</v>
      </c>
      <c r="U99" s="60"/>
      <c r="V99" s="59">
        <f>(L99/H99)*T99*((R99*60)+S99)</f>
        <v>0</v>
      </c>
      <c r="W99" s="59">
        <f>IF((V99-U99)&gt;0,(V99-U99)*O99,0)</f>
        <v>0</v>
      </c>
      <c r="X99" s="59">
        <f>IFERROR(MROUND(W99/T99,500),0)</f>
        <v>0</v>
      </c>
    </row>
    <row r="100" spans="1:24" ht="14.25" customHeight="1" x14ac:dyDescent="0.25">
      <c r="A100" s="73" t="s">
        <v>46</v>
      </c>
      <c r="B100" s="73"/>
      <c r="C100" s="73"/>
      <c r="D100" s="73">
        <v>15</v>
      </c>
      <c r="E100" s="73" t="s">
        <v>43</v>
      </c>
      <c r="F100" s="73" t="s">
        <v>47</v>
      </c>
      <c r="G100" s="73">
        <v>750</v>
      </c>
      <c r="H100" s="73">
        <v>32</v>
      </c>
      <c r="I100" s="64">
        <v>10</v>
      </c>
      <c r="J100" s="64">
        <f>I100*60</f>
        <v>600</v>
      </c>
      <c r="K100" s="61">
        <f>G100/I100</f>
        <v>75</v>
      </c>
      <c r="L100" s="61">
        <f>G100/J100</f>
        <v>1.25</v>
      </c>
      <c r="M100" s="63">
        <f>G100/H100</f>
        <v>23.4375</v>
      </c>
      <c r="N100" s="62">
        <v>115036</v>
      </c>
      <c r="O100" s="61">
        <f>N100/M100</f>
        <v>4908.202666666667</v>
      </c>
      <c r="R100" s="60"/>
      <c r="S100" s="60"/>
      <c r="T100" s="60">
        <v>8</v>
      </c>
      <c r="U100" s="60"/>
      <c r="V100" s="59">
        <f>(L100/H100)*T100*((R100*60)+S100)</f>
        <v>0</v>
      </c>
      <c r="W100" s="59">
        <f>IF((V100-U100)&gt;0,(V100-U100)*O100,0)</f>
        <v>0</v>
      </c>
      <c r="X100" s="59">
        <f>IFERROR(MROUND(W100/T100,500),0)</f>
        <v>0</v>
      </c>
    </row>
    <row r="101" spans="1:24" ht="14.25" customHeight="1" x14ac:dyDescent="0.25">
      <c r="A101" s="73" t="s">
        <v>46</v>
      </c>
      <c r="B101" s="73"/>
      <c r="C101" s="73"/>
      <c r="D101" s="73">
        <v>18</v>
      </c>
      <c r="E101" s="73" t="s">
        <v>43</v>
      </c>
      <c r="F101" s="73" t="s">
        <v>47</v>
      </c>
      <c r="G101" s="73">
        <v>700</v>
      </c>
      <c r="H101" s="73">
        <v>32</v>
      </c>
      <c r="I101" s="64">
        <v>10</v>
      </c>
      <c r="J101" s="64">
        <f>I101*60</f>
        <v>600</v>
      </c>
      <c r="K101" s="61">
        <f>G101/I101</f>
        <v>70</v>
      </c>
      <c r="L101" s="61">
        <f>G101/J101</f>
        <v>1.1666666666666667</v>
      </c>
      <c r="M101" s="63">
        <f>G101/H101</f>
        <v>21.875</v>
      </c>
      <c r="N101" s="62">
        <v>115037</v>
      </c>
      <c r="O101" s="61">
        <f>N101/M101</f>
        <v>5258.8342857142861</v>
      </c>
      <c r="R101" s="60"/>
      <c r="S101" s="60"/>
      <c r="T101" s="60">
        <v>8</v>
      </c>
      <c r="U101" s="60"/>
      <c r="V101" s="59">
        <f>(L101/H101)*T101*((R101*60)+S101)</f>
        <v>0</v>
      </c>
      <c r="W101" s="59">
        <f>IF((V101-U101)&gt;0,(V101-U101)*O101,0)</f>
        <v>0</v>
      </c>
      <c r="X101" s="59">
        <f>IFERROR(MROUND(W101/T101,500),0)</f>
        <v>0</v>
      </c>
    </row>
    <row r="102" spans="1:24" ht="14.25" customHeight="1" x14ac:dyDescent="0.25">
      <c r="A102" s="73" t="s">
        <v>67</v>
      </c>
      <c r="B102" s="73"/>
      <c r="C102" s="73"/>
      <c r="D102" s="73">
        <v>9</v>
      </c>
      <c r="E102" s="73" t="s">
        <v>39</v>
      </c>
      <c r="F102" s="73" t="s">
        <v>66</v>
      </c>
      <c r="G102" s="73">
        <v>600</v>
      </c>
      <c r="H102" s="73">
        <v>32</v>
      </c>
      <c r="I102" s="64">
        <v>10</v>
      </c>
      <c r="J102" s="64">
        <f>I102*60</f>
        <v>600</v>
      </c>
      <c r="K102" s="61">
        <f>G102/I102</f>
        <v>60</v>
      </c>
      <c r="L102" s="61">
        <f>G102/J102</f>
        <v>1</v>
      </c>
      <c r="M102" s="63">
        <f>G102/H102</f>
        <v>18.75</v>
      </c>
      <c r="N102" s="62">
        <v>115038</v>
      </c>
      <c r="O102" s="61">
        <f>N102/M102</f>
        <v>6135.36</v>
      </c>
      <c r="R102" s="60"/>
      <c r="S102" s="60"/>
      <c r="T102" s="60">
        <v>32</v>
      </c>
      <c r="U102" s="60"/>
      <c r="V102" s="59">
        <f>(L102/H102)*T102*((R102*60)+S102)</f>
        <v>0</v>
      </c>
      <c r="W102" s="59">
        <f>IF((V102-U102)&gt;0,(V102-U102)*O102,0)</f>
        <v>0</v>
      </c>
      <c r="X102" s="59">
        <f>IFERROR(MROUND(W102/T102,500),0)</f>
        <v>0</v>
      </c>
    </row>
    <row r="103" spans="1:24" ht="14.25" customHeight="1" x14ac:dyDescent="0.25">
      <c r="A103" s="73" t="s">
        <v>46</v>
      </c>
      <c r="B103" s="73"/>
      <c r="C103" s="73"/>
      <c r="D103" s="73">
        <v>12</v>
      </c>
      <c r="E103" s="73" t="s">
        <v>43</v>
      </c>
      <c r="F103" s="73" t="s">
        <v>65</v>
      </c>
      <c r="G103" s="73">
        <v>700</v>
      </c>
      <c r="H103" s="73">
        <v>32</v>
      </c>
      <c r="I103" s="64">
        <v>10</v>
      </c>
      <c r="J103" s="64">
        <f>I103*60</f>
        <v>600</v>
      </c>
      <c r="K103" s="61">
        <f>G103/I103</f>
        <v>70</v>
      </c>
      <c r="L103" s="61">
        <f>G103/J103</f>
        <v>1.1666666666666667</v>
      </c>
      <c r="M103" s="63">
        <f>G103/H103</f>
        <v>21.875</v>
      </c>
      <c r="N103" s="62">
        <v>115039</v>
      </c>
      <c r="O103" s="61">
        <f>N103/M103</f>
        <v>5258.9257142857141</v>
      </c>
      <c r="R103" s="60"/>
      <c r="S103" s="60"/>
      <c r="T103" s="60">
        <v>8</v>
      </c>
      <c r="U103" s="60"/>
      <c r="V103" s="59">
        <f>(L103/H103)*T103*((R103*60)+S103)</f>
        <v>0</v>
      </c>
      <c r="W103" s="59">
        <f>IF((V103-U103)&gt;0,(V103-U103)*O103,0)</f>
        <v>0</v>
      </c>
      <c r="X103" s="59">
        <f>IFERROR(MROUND(W103/T103,500),0)</f>
        <v>0</v>
      </c>
    </row>
    <row r="104" spans="1:24" ht="14.25" customHeight="1" x14ac:dyDescent="0.25">
      <c r="A104" s="73" t="s">
        <v>46</v>
      </c>
      <c r="B104" s="73"/>
      <c r="C104" s="73"/>
      <c r="D104" s="73">
        <v>15</v>
      </c>
      <c r="E104" s="73" t="s">
        <v>43</v>
      </c>
      <c r="F104" s="73" t="s">
        <v>65</v>
      </c>
      <c r="G104" s="73">
        <v>500</v>
      </c>
      <c r="H104" s="73">
        <v>32</v>
      </c>
      <c r="I104" s="64">
        <v>10</v>
      </c>
      <c r="J104" s="64">
        <f>I104*60</f>
        <v>600</v>
      </c>
      <c r="K104" s="61">
        <f>G104/I104</f>
        <v>50</v>
      </c>
      <c r="L104" s="61">
        <f>G104/J104</f>
        <v>0.83333333333333337</v>
      </c>
      <c r="M104" s="63">
        <f>G104/H104</f>
        <v>15.625</v>
      </c>
      <c r="N104" s="62">
        <v>115040</v>
      </c>
      <c r="O104" s="61">
        <f>N104/M104</f>
        <v>7362.56</v>
      </c>
      <c r="R104" s="60"/>
      <c r="S104" s="60"/>
      <c r="T104" s="60">
        <v>8</v>
      </c>
      <c r="U104" s="60"/>
      <c r="V104" s="59">
        <f>(L104/H104)*T104*((R104*60)+S104)</f>
        <v>0</v>
      </c>
      <c r="W104" s="59">
        <f>IF((V104-U104)&gt;0,(V104-U104)*O104,0)</f>
        <v>0</v>
      </c>
      <c r="X104" s="59">
        <f>IFERROR(MROUND(W104/T104,500),0)</f>
        <v>0</v>
      </c>
    </row>
    <row r="105" spans="1:24" ht="14.25" customHeight="1" x14ac:dyDescent="0.25">
      <c r="A105" s="73" t="s">
        <v>46</v>
      </c>
      <c r="B105" s="73"/>
      <c r="C105" s="73"/>
      <c r="D105" s="73">
        <v>18</v>
      </c>
      <c r="E105" s="73" t="s">
        <v>43</v>
      </c>
      <c r="F105" s="73" t="s">
        <v>65</v>
      </c>
      <c r="G105" s="73">
        <v>500</v>
      </c>
      <c r="H105" s="73">
        <v>32</v>
      </c>
      <c r="I105" s="64">
        <v>10</v>
      </c>
      <c r="J105" s="64">
        <f>I105*60</f>
        <v>600</v>
      </c>
      <c r="K105" s="61">
        <f>G105/I105</f>
        <v>50</v>
      </c>
      <c r="L105" s="61">
        <f>G105/J105</f>
        <v>0.83333333333333337</v>
      </c>
      <c r="M105" s="63">
        <f>G105/H105</f>
        <v>15.625</v>
      </c>
      <c r="N105" s="62">
        <v>115041</v>
      </c>
      <c r="O105" s="61">
        <f>N105/M105</f>
        <v>7362.6239999999998</v>
      </c>
      <c r="R105" s="60"/>
      <c r="S105" s="60"/>
      <c r="T105" s="60">
        <v>8</v>
      </c>
      <c r="U105" s="60"/>
      <c r="V105" s="59">
        <f>(L105/H105)*T105*((R105*60)+S105)</f>
        <v>0</v>
      </c>
      <c r="W105" s="59">
        <f>IF((V105-U105)&gt;0,(V105-U105)*O105,0)</f>
        <v>0</v>
      </c>
      <c r="X105" s="59">
        <f>IFERROR(MROUND(W105/T105,500),0)</f>
        <v>0</v>
      </c>
    </row>
    <row r="106" spans="1:24" ht="14.25" customHeight="1" x14ac:dyDescent="0.25">
      <c r="A106" s="71" t="s">
        <v>64</v>
      </c>
      <c r="B106" s="70"/>
      <c r="C106" s="62"/>
      <c r="D106" s="62"/>
      <c r="E106" s="69"/>
      <c r="F106" s="69" t="s">
        <v>47</v>
      </c>
      <c r="G106" s="68">
        <v>270</v>
      </c>
      <c r="H106" s="67">
        <v>4</v>
      </c>
      <c r="I106" s="64">
        <v>9</v>
      </c>
      <c r="J106" s="64">
        <f>I106*60</f>
        <v>540</v>
      </c>
      <c r="K106" s="61">
        <f>G106/I106</f>
        <v>30</v>
      </c>
      <c r="L106" s="61">
        <f>G106/J106</f>
        <v>0.5</v>
      </c>
      <c r="M106" s="63">
        <f>G106/H106</f>
        <v>67.5</v>
      </c>
      <c r="N106" s="62">
        <v>115000</v>
      </c>
      <c r="O106" s="61">
        <f>N106/M106</f>
        <v>1703.7037037037037</v>
      </c>
      <c r="P106" s="72" t="s">
        <v>63</v>
      </c>
      <c r="R106" s="60">
        <v>9</v>
      </c>
      <c r="S106" s="60"/>
      <c r="T106" s="60">
        <v>4</v>
      </c>
      <c r="U106" s="60">
        <v>225</v>
      </c>
      <c r="V106" s="59">
        <f>(L106/H106)*T106*((R106*60)+S106)</f>
        <v>270</v>
      </c>
      <c r="W106" s="59">
        <f>IF((V106-U106)&gt;0,(V106-U106)*O106,0)</f>
        <v>76666.666666666672</v>
      </c>
      <c r="X106" s="59">
        <f>IFERROR(MROUND(W106/T106,500),0)</f>
        <v>19000</v>
      </c>
    </row>
    <row r="107" spans="1:24" ht="14.25" customHeight="1" x14ac:dyDescent="0.25">
      <c r="A107" s="71" t="s">
        <v>62</v>
      </c>
      <c r="B107" s="70"/>
      <c r="C107" s="62"/>
      <c r="D107" s="62"/>
      <c r="E107" s="69"/>
      <c r="F107" s="69" t="s">
        <v>47</v>
      </c>
      <c r="G107" s="68">
        <v>350</v>
      </c>
      <c r="H107" s="67">
        <v>4</v>
      </c>
      <c r="I107" s="64">
        <v>9</v>
      </c>
      <c r="J107" s="64">
        <f>I107*60</f>
        <v>540</v>
      </c>
      <c r="K107" s="61">
        <f>G107/I107</f>
        <v>38.888888888888886</v>
      </c>
      <c r="L107" s="61">
        <f>G107/J107</f>
        <v>0.64814814814814814</v>
      </c>
      <c r="M107" s="63">
        <f>G107/H107</f>
        <v>87.5</v>
      </c>
      <c r="N107" s="62">
        <v>115000</v>
      </c>
      <c r="O107" s="61">
        <f>N107/M107</f>
        <v>1314.2857142857142</v>
      </c>
      <c r="R107" s="60"/>
      <c r="S107" s="60"/>
      <c r="T107" s="60">
        <v>4</v>
      </c>
      <c r="U107" s="60"/>
      <c r="V107" s="59">
        <f>(L107/H107)*T107*((R107*60)+S107)</f>
        <v>0</v>
      </c>
      <c r="W107" s="59">
        <f>IF((V107-U107)&gt;0,(V107-U107)*O107,0)</f>
        <v>0</v>
      </c>
      <c r="X107" s="59">
        <f>IFERROR(MROUND(W107/T107,500),0)</f>
        <v>0</v>
      </c>
    </row>
    <row r="108" spans="1:24" ht="14.25" customHeight="1" x14ac:dyDescent="0.25">
      <c r="A108" s="71" t="s">
        <v>61</v>
      </c>
      <c r="B108" s="70"/>
      <c r="C108" s="62"/>
      <c r="D108" s="62"/>
      <c r="E108" s="69"/>
      <c r="F108" s="69" t="s">
        <v>47</v>
      </c>
      <c r="G108" s="68">
        <v>400</v>
      </c>
      <c r="H108" s="67">
        <v>1</v>
      </c>
      <c r="I108" s="64">
        <v>9</v>
      </c>
      <c r="J108" s="64">
        <f>I108*60</f>
        <v>540</v>
      </c>
      <c r="K108" s="61">
        <f>G108/I108</f>
        <v>44.444444444444443</v>
      </c>
      <c r="L108" s="61">
        <f>G108/J108</f>
        <v>0.7407407407407407</v>
      </c>
      <c r="M108" s="63">
        <f>G108/H108</f>
        <v>400</v>
      </c>
      <c r="N108" s="62">
        <v>115000</v>
      </c>
      <c r="O108" s="61">
        <f>N108/M108</f>
        <v>287.5</v>
      </c>
      <c r="R108" s="60"/>
      <c r="S108" s="60"/>
      <c r="T108" s="60">
        <v>1</v>
      </c>
      <c r="U108" s="60"/>
      <c r="V108" s="59">
        <f>(L108/H108)*T108*((R108*60)+S108)</f>
        <v>0</v>
      </c>
      <c r="W108" s="59">
        <f>IF((V108-U108)&gt;0,(V108-U108)*O108,0)</f>
        <v>0</v>
      </c>
      <c r="X108" s="59">
        <f>IFERROR(MROUND(W108/T108,500),0)</f>
        <v>0</v>
      </c>
    </row>
    <row r="109" spans="1:24" ht="14.25" customHeight="1" x14ac:dyDescent="0.25">
      <c r="A109" s="71" t="s">
        <v>60</v>
      </c>
      <c r="B109" s="70"/>
      <c r="C109" s="62"/>
      <c r="D109" s="62"/>
      <c r="E109" s="69"/>
      <c r="F109" s="69" t="s">
        <v>47</v>
      </c>
      <c r="G109" s="68">
        <v>450</v>
      </c>
      <c r="H109" s="67">
        <v>1</v>
      </c>
      <c r="I109" s="64">
        <v>9</v>
      </c>
      <c r="J109" s="64">
        <f>I109*60</f>
        <v>540</v>
      </c>
      <c r="K109" s="61">
        <f>G109/I109</f>
        <v>50</v>
      </c>
      <c r="L109" s="61">
        <f>G109/J109</f>
        <v>0.83333333333333337</v>
      </c>
      <c r="M109" s="63">
        <f>G109/H109</f>
        <v>450</v>
      </c>
      <c r="N109" s="62">
        <v>115000</v>
      </c>
      <c r="O109" s="61">
        <f>N109/M109</f>
        <v>255.55555555555554</v>
      </c>
      <c r="R109" s="60"/>
      <c r="S109" s="60"/>
      <c r="T109" s="60">
        <v>1</v>
      </c>
      <c r="U109" s="60"/>
      <c r="V109" s="59">
        <f>(L109/H109)*T109*((R109*60)+S109)</f>
        <v>0</v>
      </c>
      <c r="W109" s="59">
        <f>IF((V109-U109)&gt;0,(V109-U109)*O109,0)</f>
        <v>0</v>
      </c>
      <c r="X109" s="59">
        <f>IFERROR(MROUND(W109/T109,500),0)</f>
        <v>0</v>
      </c>
    </row>
    <row r="110" spans="1:24" ht="14.25" customHeight="1" x14ac:dyDescent="0.25">
      <c r="A110" s="66" t="s">
        <v>59</v>
      </c>
      <c r="B110" s="70"/>
      <c r="C110" s="62"/>
      <c r="D110" s="62">
        <v>8</v>
      </c>
      <c r="E110" s="69"/>
      <c r="F110" s="69" t="s">
        <v>47</v>
      </c>
      <c r="G110" s="68">
        <v>450</v>
      </c>
      <c r="H110" s="67">
        <v>2</v>
      </c>
      <c r="I110" s="64">
        <v>9</v>
      </c>
      <c r="J110" s="64">
        <f>I110*60</f>
        <v>540</v>
      </c>
      <c r="K110" s="61">
        <f>G110/I110</f>
        <v>50</v>
      </c>
      <c r="L110" s="61">
        <f>G110/J110</f>
        <v>0.83333333333333337</v>
      </c>
      <c r="M110" s="63">
        <f>G110/H110</f>
        <v>225</v>
      </c>
      <c r="N110" s="62">
        <v>115000</v>
      </c>
      <c r="O110" s="61">
        <f>N110/M110</f>
        <v>511.11111111111109</v>
      </c>
      <c r="R110" s="60"/>
      <c r="S110" s="60"/>
      <c r="T110" s="60">
        <v>8</v>
      </c>
      <c r="U110" s="60"/>
      <c r="V110" s="59">
        <f>(L110/H110)*T110*((R110*60)+S110)</f>
        <v>0</v>
      </c>
      <c r="W110" s="59">
        <f>IF((V110-U110)&gt;0,(V110-U110)*O110,0)</f>
        <v>0</v>
      </c>
      <c r="X110" s="59">
        <f>IFERROR(MROUND(W110/T110,500),0)</f>
        <v>0</v>
      </c>
    </row>
    <row r="111" spans="1:24" ht="14.25" customHeight="1" x14ac:dyDescent="0.25">
      <c r="A111" s="66" t="s">
        <v>59</v>
      </c>
      <c r="B111" s="70"/>
      <c r="C111" s="62"/>
      <c r="D111" s="62">
        <v>9</v>
      </c>
      <c r="E111" s="69"/>
      <c r="F111" s="69" t="s">
        <v>47</v>
      </c>
      <c r="G111" s="68">
        <v>450</v>
      </c>
      <c r="H111" s="67">
        <v>2</v>
      </c>
      <c r="I111" s="64">
        <v>9</v>
      </c>
      <c r="J111" s="64">
        <f>I111*60</f>
        <v>540</v>
      </c>
      <c r="K111" s="61">
        <f>G111/I111</f>
        <v>50</v>
      </c>
      <c r="L111" s="61">
        <f>G111/J111</f>
        <v>0.83333333333333337</v>
      </c>
      <c r="M111" s="63">
        <f>G111/H111</f>
        <v>225</v>
      </c>
      <c r="N111" s="62">
        <v>115000</v>
      </c>
      <c r="O111" s="61">
        <f>N111/M111</f>
        <v>511.11111111111109</v>
      </c>
      <c r="R111" s="60"/>
      <c r="S111" s="60"/>
      <c r="T111" s="60">
        <v>8</v>
      </c>
      <c r="U111" s="60"/>
      <c r="V111" s="59">
        <f>(L111/H111)*T111*((R111*60)+S111)</f>
        <v>0</v>
      </c>
      <c r="W111" s="59">
        <f>IF((V111-U111)&gt;0,(V111-U111)*O111,0)</f>
        <v>0</v>
      </c>
      <c r="X111" s="59">
        <f>IFERROR(MROUND(W111/T111,500),0)</f>
        <v>0</v>
      </c>
    </row>
    <row r="112" spans="1:24" ht="14.25" customHeight="1" x14ac:dyDescent="0.25">
      <c r="A112" s="66" t="s">
        <v>59</v>
      </c>
      <c r="B112" s="70"/>
      <c r="C112" s="62"/>
      <c r="D112" s="62">
        <v>12</v>
      </c>
      <c r="E112" s="69"/>
      <c r="F112" s="69" t="s">
        <v>47</v>
      </c>
      <c r="G112" s="68">
        <v>450</v>
      </c>
      <c r="H112" s="67">
        <v>2</v>
      </c>
      <c r="I112" s="64">
        <v>9</v>
      </c>
      <c r="J112" s="64">
        <f>I112*60</f>
        <v>540</v>
      </c>
      <c r="K112" s="61">
        <f>G112/I112</f>
        <v>50</v>
      </c>
      <c r="L112" s="61">
        <f>G112/J112</f>
        <v>0.83333333333333337</v>
      </c>
      <c r="M112" s="63">
        <f>G112/H112</f>
        <v>225</v>
      </c>
      <c r="N112" s="62">
        <v>115000</v>
      </c>
      <c r="O112" s="61">
        <f>N112/M112</f>
        <v>511.11111111111109</v>
      </c>
      <c r="R112" s="60"/>
      <c r="S112" s="60"/>
      <c r="T112" s="60">
        <v>8</v>
      </c>
      <c r="U112" s="60"/>
      <c r="V112" s="59">
        <f>(L112/H112)*T112*((R112*60)+S112)</f>
        <v>0</v>
      </c>
      <c r="W112" s="59">
        <f>IF((V112-U112)&gt;0,(V112-U112)*O112,0)</f>
        <v>0</v>
      </c>
      <c r="X112" s="59">
        <f>IFERROR(MROUND(W112/T112,500),0)</f>
        <v>0</v>
      </c>
    </row>
    <row r="113" spans="1:24" ht="14.25" customHeight="1" x14ac:dyDescent="0.25">
      <c r="A113" s="66" t="s">
        <v>59</v>
      </c>
      <c r="B113" s="70"/>
      <c r="C113" s="62"/>
      <c r="D113" s="62">
        <v>15</v>
      </c>
      <c r="E113" s="69"/>
      <c r="F113" s="69" t="s">
        <v>47</v>
      </c>
      <c r="G113" s="68">
        <v>400</v>
      </c>
      <c r="H113" s="67">
        <v>2</v>
      </c>
      <c r="I113" s="64">
        <v>9</v>
      </c>
      <c r="J113" s="64">
        <f>I113*60</f>
        <v>540</v>
      </c>
      <c r="K113" s="61">
        <f>G113/I113</f>
        <v>44.444444444444443</v>
      </c>
      <c r="L113" s="61">
        <f>G113/J113</f>
        <v>0.7407407407407407</v>
      </c>
      <c r="M113" s="63">
        <f>G113/H113</f>
        <v>200</v>
      </c>
      <c r="N113" s="62">
        <v>115000</v>
      </c>
      <c r="O113" s="61">
        <f>N113/M113</f>
        <v>575</v>
      </c>
      <c r="R113" s="60"/>
      <c r="S113" s="60"/>
      <c r="T113" s="60">
        <v>8</v>
      </c>
      <c r="U113" s="60"/>
      <c r="V113" s="59">
        <f>(L113/H113)*T113*((R113*60)+S113)</f>
        <v>0</v>
      </c>
      <c r="W113" s="59">
        <f>IF((V113-U113)&gt;0,(V113-U113)*O113,0)</f>
        <v>0</v>
      </c>
      <c r="X113" s="59">
        <f>IFERROR(MROUND(W113/T113,500),0)</f>
        <v>0</v>
      </c>
    </row>
    <row r="114" spans="1:24" ht="14.25" customHeight="1" x14ac:dyDescent="0.25">
      <c r="A114" s="66" t="s">
        <v>59</v>
      </c>
      <c r="B114" s="70"/>
      <c r="C114" s="62"/>
      <c r="D114" s="62">
        <v>18</v>
      </c>
      <c r="E114" s="69"/>
      <c r="F114" s="69" t="s">
        <v>47</v>
      </c>
      <c r="G114" s="68">
        <v>400</v>
      </c>
      <c r="H114" s="67">
        <v>2</v>
      </c>
      <c r="I114" s="64">
        <v>9</v>
      </c>
      <c r="J114" s="64">
        <f>I114*60</f>
        <v>540</v>
      </c>
      <c r="K114" s="61">
        <f>G114/I114</f>
        <v>44.444444444444443</v>
      </c>
      <c r="L114" s="61">
        <f>G114/J114</f>
        <v>0.7407407407407407</v>
      </c>
      <c r="M114" s="63">
        <f>G114/H114</f>
        <v>200</v>
      </c>
      <c r="N114" s="62">
        <v>115000</v>
      </c>
      <c r="O114" s="61">
        <f>N114/M114</f>
        <v>575</v>
      </c>
      <c r="R114" s="60"/>
      <c r="S114" s="60"/>
      <c r="T114" s="60">
        <v>8</v>
      </c>
      <c r="U114" s="60"/>
      <c r="V114" s="59">
        <f>(L114/H114)*T114*((R114*60)+S114)</f>
        <v>0</v>
      </c>
      <c r="W114" s="59">
        <f>IF((V114-U114)&gt;0,(V114-U114)*O114,0)</f>
        <v>0</v>
      </c>
      <c r="X114" s="59">
        <f>IFERROR(MROUND(W114/T114,500),0)</f>
        <v>0</v>
      </c>
    </row>
    <row r="115" spans="1:24" ht="14.25" customHeight="1" x14ac:dyDescent="0.25">
      <c r="A115" s="66" t="s">
        <v>59</v>
      </c>
      <c r="B115" s="70"/>
      <c r="C115" s="62"/>
      <c r="D115" s="62">
        <v>3</v>
      </c>
      <c r="E115" s="69"/>
      <c r="F115" s="69" t="s">
        <v>58</v>
      </c>
      <c r="G115" s="68">
        <v>550</v>
      </c>
      <c r="H115" s="67">
        <v>2</v>
      </c>
      <c r="I115" s="64">
        <v>9</v>
      </c>
      <c r="J115" s="64">
        <f>I115*60</f>
        <v>540</v>
      </c>
      <c r="K115" s="61">
        <f>G115/I115</f>
        <v>61.111111111111114</v>
      </c>
      <c r="L115" s="61">
        <f>G115/J115</f>
        <v>1.0185185185185186</v>
      </c>
      <c r="M115" s="63">
        <f>G115/H115</f>
        <v>275</v>
      </c>
      <c r="N115" s="62">
        <v>115000</v>
      </c>
      <c r="O115" s="61">
        <f>N115/M115</f>
        <v>418.18181818181819</v>
      </c>
      <c r="R115" s="60"/>
      <c r="S115" s="60"/>
      <c r="T115" s="60">
        <v>8</v>
      </c>
      <c r="U115" s="60"/>
      <c r="V115" s="59">
        <f>(L115/H115)*T115*((R115*60)+S115)</f>
        <v>0</v>
      </c>
      <c r="W115" s="59">
        <f>IF((V115-U115)&gt;0,(V115-U115)*O115,0)</f>
        <v>0</v>
      </c>
      <c r="X115" s="59">
        <f>IFERROR(MROUND(W115/T115,500),0)</f>
        <v>0</v>
      </c>
    </row>
    <row r="116" spans="1:24" ht="14.25" customHeight="1" x14ac:dyDescent="0.25">
      <c r="A116" s="66" t="s">
        <v>59</v>
      </c>
      <c r="B116" s="70"/>
      <c r="C116" s="62"/>
      <c r="D116" s="62">
        <v>4</v>
      </c>
      <c r="E116" s="69"/>
      <c r="F116" s="69" t="s">
        <v>58</v>
      </c>
      <c r="G116" s="68">
        <v>550</v>
      </c>
      <c r="H116" s="67">
        <v>2</v>
      </c>
      <c r="I116" s="64">
        <v>9</v>
      </c>
      <c r="J116" s="64">
        <f>I116*60</f>
        <v>540</v>
      </c>
      <c r="K116" s="61">
        <f>G116/I116</f>
        <v>61.111111111111114</v>
      </c>
      <c r="L116" s="61">
        <f>G116/J116</f>
        <v>1.0185185185185186</v>
      </c>
      <c r="M116" s="63">
        <f>G116/H116</f>
        <v>275</v>
      </c>
      <c r="N116" s="62">
        <v>115000</v>
      </c>
      <c r="O116" s="61">
        <f>N116/M116</f>
        <v>418.18181818181819</v>
      </c>
      <c r="R116" s="60"/>
      <c r="S116" s="60"/>
      <c r="T116" s="60">
        <v>8</v>
      </c>
      <c r="U116" s="60"/>
      <c r="V116" s="59">
        <f>(L116/H116)*T116*((R116*60)+S116)</f>
        <v>0</v>
      </c>
      <c r="W116" s="59">
        <f>IF((V116-U116)&gt;0,(V116-U116)*O116,0)</f>
        <v>0</v>
      </c>
      <c r="X116" s="59">
        <f>IFERROR(MROUND(W116/T116,500),0)</f>
        <v>0</v>
      </c>
    </row>
    <row r="117" spans="1:24" ht="14.25" customHeight="1" x14ac:dyDescent="0.25">
      <c r="A117" s="66" t="s">
        <v>59</v>
      </c>
      <c r="B117" s="70"/>
      <c r="C117" s="62"/>
      <c r="D117" s="62">
        <v>5</v>
      </c>
      <c r="E117" s="69"/>
      <c r="F117" s="69" t="s">
        <v>58</v>
      </c>
      <c r="G117" s="68">
        <v>550</v>
      </c>
      <c r="H117" s="67">
        <v>2</v>
      </c>
      <c r="I117" s="64">
        <v>9</v>
      </c>
      <c r="J117" s="64">
        <f>I117*60</f>
        <v>540</v>
      </c>
      <c r="K117" s="61">
        <f>G117/I117</f>
        <v>61.111111111111114</v>
      </c>
      <c r="L117" s="61">
        <f>G117/J117</f>
        <v>1.0185185185185186</v>
      </c>
      <c r="M117" s="63">
        <f>G117/H117</f>
        <v>275</v>
      </c>
      <c r="N117" s="62">
        <v>115000</v>
      </c>
      <c r="O117" s="61">
        <f>N117/M117</f>
        <v>418.18181818181819</v>
      </c>
      <c r="R117" s="60"/>
      <c r="S117" s="60"/>
      <c r="T117" s="60">
        <v>8</v>
      </c>
      <c r="U117" s="60"/>
      <c r="V117" s="59">
        <f>(L117/H117)*T117*((R117*60)+S117)</f>
        <v>0</v>
      </c>
      <c r="W117" s="59">
        <f>IF((V117-U117)&gt;0,(V117-U117)*O117,0)</f>
        <v>0</v>
      </c>
      <c r="X117" s="59">
        <f>IFERROR(MROUND(W117/T117,500),0)</f>
        <v>0</v>
      </c>
    </row>
    <row r="118" spans="1:24" ht="14.25" customHeight="1" x14ac:dyDescent="0.25">
      <c r="A118" s="66" t="s">
        <v>59</v>
      </c>
      <c r="B118" s="70"/>
      <c r="C118" s="62"/>
      <c r="D118" s="62">
        <v>6</v>
      </c>
      <c r="E118" s="69"/>
      <c r="F118" s="69" t="s">
        <v>58</v>
      </c>
      <c r="G118" s="68">
        <v>550</v>
      </c>
      <c r="H118" s="67">
        <v>2</v>
      </c>
      <c r="I118" s="64">
        <v>9</v>
      </c>
      <c r="J118" s="64">
        <f>I118*60</f>
        <v>540</v>
      </c>
      <c r="K118" s="61">
        <f>G118/I118</f>
        <v>61.111111111111114</v>
      </c>
      <c r="L118" s="61">
        <f>G118/J118</f>
        <v>1.0185185185185186</v>
      </c>
      <c r="M118" s="63">
        <f>G118/H118</f>
        <v>275</v>
      </c>
      <c r="N118" s="62">
        <v>115000</v>
      </c>
      <c r="O118" s="61">
        <f>N118/M118</f>
        <v>418.18181818181819</v>
      </c>
      <c r="R118" s="60"/>
      <c r="S118" s="60"/>
      <c r="T118" s="60">
        <v>8</v>
      </c>
      <c r="U118" s="60"/>
      <c r="V118" s="59">
        <f>(L118/H118)*T118*((R118*60)+S118)</f>
        <v>0</v>
      </c>
      <c r="W118" s="59">
        <f>IF((V118-U118)&gt;0,(V118-U118)*O118,0)</f>
        <v>0</v>
      </c>
      <c r="X118" s="59">
        <f>IFERROR(MROUND(W118/T118,500),0)</f>
        <v>0</v>
      </c>
    </row>
    <row r="119" spans="1:24" ht="14.25" customHeight="1" x14ac:dyDescent="0.25">
      <c r="A119" s="66" t="s">
        <v>59</v>
      </c>
      <c r="B119" s="70"/>
      <c r="C119" s="62"/>
      <c r="D119" s="62">
        <v>8</v>
      </c>
      <c r="E119" s="69"/>
      <c r="F119" s="69" t="s">
        <v>58</v>
      </c>
      <c r="G119" s="68">
        <v>550</v>
      </c>
      <c r="H119" s="67">
        <v>2</v>
      </c>
      <c r="I119" s="64">
        <v>9</v>
      </c>
      <c r="J119" s="64">
        <f>I119*60</f>
        <v>540</v>
      </c>
      <c r="K119" s="61">
        <f>G119/I119</f>
        <v>61.111111111111114</v>
      </c>
      <c r="L119" s="61">
        <f>G119/J119</f>
        <v>1.0185185185185186</v>
      </c>
      <c r="M119" s="63">
        <f>G119/H119</f>
        <v>275</v>
      </c>
      <c r="N119" s="62">
        <v>115000</v>
      </c>
      <c r="O119" s="61">
        <f>N119/M119</f>
        <v>418.18181818181819</v>
      </c>
      <c r="R119" s="60"/>
      <c r="S119" s="60"/>
      <c r="T119" s="60">
        <v>8</v>
      </c>
      <c r="U119" s="60"/>
      <c r="V119" s="59">
        <f>(L119/H119)*T119*((R119*60)+S119)</f>
        <v>0</v>
      </c>
      <c r="W119" s="59">
        <f>IF((V119-U119)&gt;0,(V119-U119)*O119,0)</f>
        <v>0</v>
      </c>
      <c r="X119" s="59">
        <f>IFERROR(MROUND(W119/T119,500),0)</f>
        <v>0</v>
      </c>
    </row>
    <row r="120" spans="1:24" ht="14.25" customHeight="1" x14ac:dyDescent="0.25">
      <c r="A120" s="66" t="s">
        <v>59</v>
      </c>
      <c r="B120" s="70"/>
      <c r="C120" s="62"/>
      <c r="D120" s="62">
        <v>9</v>
      </c>
      <c r="E120" s="69"/>
      <c r="F120" s="69" t="s">
        <v>58</v>
      </c>
      <c r="G120" s="68">
        <v>550</v>
      </c>
      <c r="H120" s="67">
        <v>2</v>
      </c>
      <c r="I120" s="64">
        <v>9</v>
      </c>
      <c r="J120" s="64">
        <f>I120*60</f>
        <v>540</v>
      </c>
      <c r="K120" s="61">
        <f>G120/I120</f>
        <v>61.111111111111114</v>
      </c>
      <c r="L120" s="61">
        <f>G120/J120</f>
        <v>1.0185185185185186</v>
      </c>
      <c r="M120" s="63">
        <f>G120/H120</f>
        <v>275</v>
      </c>
      <c r="N120" s="62">
        <v>115000</v>
      </c>
      <c r="O120" s="61">
        <f>N120/M120</f>
        <v>418.18181818181819</v>
      </c>
      <c r="R120" s="60"/>
      <c r="S120" s="60"/>
      <c r="T120" s="60">
        <v>8</v>
      </c>
      <c r="U120" s="60"/>
      <c r="V120" s="59">
        <f>(L120/H120)*T120*((R120*60)+S120)</f>
        <v>0</v>
      </c>
      <c r="W120" s="59">
        <f>IF((V120-U120)&gt;0,(V120-U120)*O120,0)</f>
        <v>0</v>
      </c>
      <c r="X120" s="59">
        <f>IFERROR(MROUND(W120/T120,500),0)</f>
        <v>0</v>
      </c>
    </row>
    <row r="121" spans="1:24" ht="14.25" customHeight="1" x14ac:dyDescent="0.25">
      <c r="A121" s="66" t="s">
        <v>59</v>
      </c>
      <c r="B121" s="70"/>
      <c r="C121" s="62"/>
      <c r="D121" s="62">
        <v>12</v>
      </c>
      <c r="E121" s="69"/>
      <c r="F121" s="69" t="s">
        <v>58</v>
      </c>
      <c r="G121" s="68">
        <v>550</v>
      </c>
      <c r="H121" s="67">
        <v>2</v>
      </c>
      <c r="I121" s="64">
        <v>9</v>
      </c>
      <c r="J121" s="64">
        <f>I121*60</f>
        <v>540</v>
      </c>
      <c r="K121" s="61">
        <f>G121/I121</f>
        <v>61.111111111111114</v>
      </c>
      <c r="L121" s="61">
        <f>G121/J121</f>
        <v>1.0185185185185186</v>
      </c>
      <c r="M121" s="63">
        <f>G121/H121</f>
        <v>275</v>
      </c>
      <c r="N121" s="62">
        <v>115000</v>
      </c>
      <c r="O121" s="61">
        <f>N121/M121</f>
        <v>418.18181818181819</v>
      </c>
      <c r="R121" s="60"/>
      <c r="S121" s="60"/>
      <c r="T121" s="60">
        <v>8</v>
      </c>
      <c r="U121" s="60"/>
      <c r="V121" s="59">
        <f>(L121/H121)*T121*((R121*60)+S121)</f>
        <v>0</v>
      </c>
      <c r="W121" s="59">
        <f>IF((V121-U121)&gt;0,(V121-U121)*O121,0)</f>
        <v>0</v>
      </c>
      <c r="X121" s="59">
        <f>IFERROR(MROUND(W121/T121,500),0)</f>
        <v>0</v>
      </c>
    </row>
    <row r="122" spans="1:24" ht="14.25" customHeight="1" x14ac:dyDescent="0.25">
      <c r="A122" s="66" t="s">
        <v>59</v>
      </c>
      <c r="B122" s="62"/>
      <c r="C122" s="62"/>
      <c r="D122" s="62">
        <v>15</v>
      </c>
      <c r="E122" s="69"/>
      <c r="F122" s="69" t="s">
        <v>58</v>
      </c>
      <c r="G122" s="68">
        <v>500</v>
      </c>
      <c r="H122" s="67">
        <v>2</v>
      </c>
      <c r="I122" s="64">
        <v>9</v>
      </c>
      <c r="J122" s="64">
        <f>I122*60</f>
        <v>540</v>
      </c>
      <c r="K122" s="61">
        <f>G122/I122</f>
        <v>55.555555555555557</v>
      </c>
      <c r="L122" s="61">
        <f>G122/J122</f>
        <v>0.92592592592592593</v>
      </c>
      <c r="M122" s="63">
        <f>G122/H122</f>
        <v>250</v>
      </c>
      <c r="N122" s="62">
        <v>115000</v>
      </c>
      <c r="O122" s="61">
        <f>N122/M122</f>
        <v>460</v>
      </c>
      <c r="R122" s="60"/>
      <c r="S122" s="60"/>
      <c r="T122" s="60">
        <v>8</v>
      </c>
      <c r="U122" s="60"/>
      <c r="V122" s="59">
        <f>(L122/H122)*T122*((R122*60)+S122)</f>
        <v>0</v>
      </c>
      <c r="W122" s="59">
        <f>IF((V122-U122)&gt;0,(V122-U122)*O122,0)</f>
        <v>0</v>
      </c>
      <c r="X122" s="59">
        <f>IFERROR(MROUND(W122/T122,500),0)</f>
        <v>0</v>
      </c>
    </row>
    <row r="123" spans="1:24" ht="14.25" customHeight="1" x14ac:dyDescent="0.25">
      <c r="A123" s="66" t="s">
        <v>59</v>
      </c>
      <c r="B123" s="62"/>
      <c r="C123" s="62"/>
      <c r="D123" s="62">
        <v>18</v>
      </c>
      <c r="E123" s="69"/>
      <c r="F123" s="69" t="s">
        <v>58</v>
      </c>
      <c r="G123" s="68">
        <v>500</v>
      </c>
      <c r="H123" s="67">
        <v>2</v>
      </c>
      <c r="I123" s="64">
        <v>9</v>
      </c>
      <c r="J123" s="64">
        <f>I123*60</f>
        <v>540</v>
      </c>
      <c r="K123" s="61">
        <f>G123/I123</f>
        <v>55.555555555555557</v>
      </c>
      <c r="L123" s="61">
        <f>G123/J123</f>
        <v>0.92592592592592593</v>
      </c>
      <c r="M123" s="63">
        <f>G123/H123</f>
        <v>250</v>
      </c>
      <c r="N123" s="62">
        <v>115000</v>
      </c>
      <c r="O123" s="61">
        <f>N123/M123</f>
        <v>460</v>
      </c>
      <c r="R123" s="60"/>
      <c r="S123" s="60"/>
      <c r="T123" s="60">
        <v>8</v>
      </c>
      <c r="U123" s="60"/>
      <c r="V123" s="59">
        <f>(L123/H123)*T123*((R123*60)+S123)</f>
        <v>0</v>
      </c>
      <c r="W123" s="59">
        <f>IF((V123-U123)&gt;0,(V123-U123)*O123,0)</f>
        <v>0</v>
      </c>
      <c r="X123" s="59">
        <f>IFERROR(MROUND(W123/T123,500),0)</f>
        <v>0</v>
      </c>
    </row>
    <row r="124" spans="1:24" ht="14.25" customHeight="1" x14ac:dyDescent="0.25">
      <c r="A124" s="66" t="s">
        <v>57</v>
      </c>
      <c r="B124" s="66"/>
      <c r="C124" s="66"/>
      <c r="D124" s="66"/>
      <c r="E124" s="66"/>
      <c r="F124" s="66"/>
      <c r="G124" s="66">
        <v>160</v>
      </c>
      <c r="H124" s="65">
        <v>1</v>
      </c>
      <c r="I124" s="64">
        <v>9</v>
      </c>
      <c r="J124" s="64">
        <f>I124*60</f>
        <v>540</v>
      </c>
      <c r="K124" s="61">
        <f>G124/I124</f>
        <v>17.777777777777779</v>
      </c>
      <c r="L124" s="61">
        <f>G124/J124</f>
        <v>0.29629629629629628</v>
      </c>
      <c r="M124" s="63">
        <f>G124/H124</f>
        <v>160</v>
      </c>
      <c r="N124" s="62">
        <v>115000</v>
      </c>
      <c r="O124" s="61">
        <f>N124/M124</f>
        <v>718.75</v>
      </c>
      <c r="R124" s="60"/>
      <c r="S124" s="60"/>
      <c r="T124" s="60">
        <v>8</v>
      </c>
      <c r="U124" s="60"/>
      <c r="V124" s="59">
        <f>(L124/H124)*T124*((R124*60)+S124)</f>
        <v>0</v>
      </c>
      <c r="W124" s="59">
        <f>IF((V124-U124)&gt;0,(V124-U124)*O124,0)</f>
        <v>0</v>
      </c>
      <c r="X124" s="59">
        <f>IFERROR(MROUND(W124/T124,500),0)</f>
        <v>0</v>
      </c>
    </row>
    <row r="125" spans="1:24" ht="14.25" customHeight="1" x14ac:dyDescent="0.25">
      <c r="A125" s="66" t="s">
        <v>56</v>
      </c>
      <c r="B125" s="66"/>
      <c r="C125" s="66"/>
      <c r="D125" s="66"/>
      <c r="E125" s="66"/>
      <c r="F125" s="66"/>
      <c r="G125" s="66">
        <v>400</v>
      </c>
      <c r="H125" s="65">
        <v>2</v>
      </c>
      <c r="I125" s="65">
        <v>9</v>
      </c>
      <c r="J125" s="64">
        <f>I125*60</f>
        <v>540</v>
      </c>
      <c r="K125" s="61">
        <f>G125/I125</f>
        <v>44.444444444444443</v>
      </c>
      <c r="L125" s="61">
        <f>G125/J125</f>
        <v>0.7407407407407407</v>
      </c>
      <c r="M125" s="63">
        <f>G125/H125</f>
        <v>200</v>
      </c>
      <c r="N125" s="62">
        <v>115000</v>
      </c>
      <c r="O125" s="61">
        <f>N125/M125</f>
        <v>575</v>
      </c>
      <c r="R125" s="60"/>
      <c r="S125" s="60"/>
      <c r="T125" s="60">
        <v>8</v>
      </c>
      <c r="U125" s="60"/>
      <c r="V125" s="59">
        <f>(L125/H125)*T125*((R125*60)+S125)</f>
        <v>0</v>
      </c>
      <c r="W125" s="59">
        <f>IF((V125-U125)&gt;0,(V125-U125)*O125,0)</f>
        <v>0</v>
      </c>
      <c r="X125" s="59">
        <f>IFERROR(MROUND(W125/T125,500),0)</f>
        <v>0</v>
      </c>
    </row>
    <row r="126" spans="1:24" ht="14.25" customHeight="1" x14ac:dyDescent="0.2"/>
    <row r="127" spans="1:24" ht="14.25" customHeight="1" x14ac:dyDescent="0.2"/>
    <row r="128" spans="1:24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</sheetData>
  <autoFilter ref="A2:R2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4"/>
  <sheetViews>
    <sheetView topLeftCell="P1" zoomScale="90" zoomScaleNormal="90" workbookViewId="0">
      <selection activeCell="V8" sqref="V8"/>
    </sheetView>
  </sheetViews>
  <sheetFormatPr defaultRowHeight="15" x14ac:dyDescent="0.2"/>
  <cols>
    <col min="1" max="17" width="9" style="58"/>
    <col min="18" max="18" width="17.875" style="58" bestFit="1" customWidth="1"/>
    <col min="19" max="19" width="9" style="58"/>
    <col min="20" max="20" width="15.375" style="58" bestFit="1" customWidth="1"/>
    <col min="21" max="21" width="9" style="58"/>
    <col min="22" max="22" width="9.25" style="88" bestFit="1" customWidth="1"/>
    <col min="23" max="16384" width="9" style="58"/>
  </cols>
  <sheetData>
    <row r="1" spans="1:23" x14ac:dyDescent="0.2">
      <c r="Q1" s="97" t="s">
        <v>130</v>
      </c>
      <c r="R1" s="97"/>
      <c r="S1" s="97"/>
      <c r="T1" s="97"/>
      <c r="U1" s="97"/>
      <c r="V1" s="97"/>
      <c r="W1" s="97"/>
    </row>
    <row r="2" spans="1:23" x14ac:dyDescent="0.25">
      <c r="A2" s="86" t="s">
        <v>0</v>
      </c>
      <c r="B2" s="86" t="s">
        <v>3</v>
      </c>
      <c r="C2" s="86" t="s">
        <v>4</v>
      </c>
      <c r="D2" s="86" t="s">
        <v>5</v>
      </c>
      <c r="E2" s="86" t="s">
        <v>6</v>
      </c>
      <c r="F2" s="86" t="s">
        <v>7</v>
      </c>
      <c r="G2" s="86" t="s">
        <v>99</v>
      </c>
      <c r="H2" s="86" t="s">
        <v>10</v>
      </c>
      <c r="I2" s="86" t="s">
        <v>11</v>
      </c>
      <c r="J2" s="86" t="s">
        <v>98</v>
      </c>
      <c r="K2" s="86" t="s">
        <v>13</v>
      </c>
      <c r="L2" s="86" t="s">
        <v>14</v>
      </c>
      <c r="M2" s="86" t="s">
        <v>15</v>
      </c>
      <c r="N2" s="86" t="s">
        <v>16</v>
      </c>
      <c r="O2" s="86" t="s">
        <v>17</v>
      </c>
      <c r="Q2" s="95"/>
      <c r="R2" s="95"/>
      <c r="S2" s="95"/>
      <c r="T2" s="95"/>
      <c r="U2" s="95"/>
      <c r="V2" s="96"/>
      <c r="W2" s="95"/>
    </row>
    <row r="3" spans="1:23" x14ac:dyDescent="0.25">
      <c r="A3" s="62" t="s">
        <v>90</v>
      </c>
      <c r="B3" s="62">
        <v>122</v>
      </c>
      <c r="C3" s="62">
        <v>244</v>
      </c>
      <c r="D3" s="62">
        <v>3.7</v>
      </c>
      <c r="E3" s="62"/>
      <c r="F3" s="64" t="s">
        <v>39</v>
      </c>
      <c r="G3" s="68">
        <v>1600</v>
      </c>
      <c r="H3" s="64">
        <v>10</v>
      </c>
      <c r="I3" s="64">
        <v>9</v>
      </c>
      <c r="J3" s="64">
        <f>I3*60</f>
        <v>540</v>
      </c>
      <c r="K3" s="61">
        <f>G3/I3</f>
        <v>177.77777777777777</v>
      </c>
      <c r="L3" s="61">
        <f>G3/J3</f>
        <v>2.9629629629629628</v>
      </c>
      <c r="M3" s="63">
        <f>G3/H3</f>
        <v>160</v>
      </c>
      <c r="N3" s="62">
        <v>115000</v>
      </c>
      <c r="O3" s="61">
        <f>N3/M3</f>
        <v>718.75</v>
      </c>
      <c r="Q3" s="94" t="s">
        <v>129</v>
      </c>
      <c r="R3" s="93" t="s">
        <v>128</v>
      </c>
      <c r="S3" s="93" t="s">
        <v>127</v>
      </c>
      <c r="T3" s="93" t="s">
        <v>7</v>
      </c>
      <c r="U3" s="93" t="s">
        <v>126</v>
      </c>
      <c r="V3" s="94" t="s">
        <v>99</v>
      </c>
      <c r="W3" s="93" t="s">
        <v>125</v>
      </c>
    </row>
    <row r="4" spans="1:23" x14ac:dyDescent="0.25">
      <c r="A4" s="62" t="s">
        <v>38</v>
      </c>
      <c r="B4" s="62">
        <v>244</v>
      </c>
      <c r="C4" s="62">
        <v>122</v>
      </c>
      <c r="D4" s="62">
        <v>0.5</v>
      </c>
      <c r="E4" s="62">
        <v>3</v>
      </c>
      <c r="F4" s="64" t="s">
        <v>39</v>
      </c>
      <c r="G4" s="68">
        <v>500</v>
      </c>
      <c r="H4" s="67">
        <v>2</v>
      </c>
      <c r="I4" s="64">
        <v>9</v>
      </c>
      <c r="J4" s="64">
        <f>I4*60</f>
        <v>540</v>
      </c>
      <c r="K4" s="61">
        <f>G4/I4</f>
        <v>55.555555555555557</v>
      </c>
      <c r="L4" s="61">
        <f>G4/J4</f>
        <v>0.92592592592592593</v>
      </c>
      <c r="M4" s="63">
        <f>G4/H4</f>
        <v>250</v>
      </c>
      <c r="N4" s="62">
        <v>115000</v>
      </c>
      <c r="O4" s="61">
        <f>N4/M4</f>
        <v>460</v>
      </c>
      <c r="Q4" s="90">
        <v>1</v>
      </c>
      <c r="R4" s="91" t="s">
        <v>83</v>
      </c>
      <c r="S4" s="91" t="s">
        <v>110</v>
      </c>
      <c r="T4" s="91" t="s">
        <v>124</v>
      </c>
      <c r="U4" s="91">
        <v>2</v>
      </c>
      <c r="V4" s="92" t="s">
        <v>123</v>
      </c>
      <c r="W4" s="89" t="s">
        <v>100</v>
      </c>
    </row>
    <row r="5" spans="1:23" x14ac:dyDescent="0.25">
      <c r="A5" s="62" t="s">
        <v>38</v>
      </c>
      <c r="B5" s="62">
        <v>244</v>
      </c>
      <c r="C5" s="62">
        <v>122</v>
      </c>
      <c r="D5" s="62">
        <v>0.5</v>
      </c>
      <c r="E5" s="62">
        <v>4</v>
      </c>
      <c r="F5" s="64" t="s">
        <v>39</v>
      </c>
      <c r="G5" s="68">
        <v>260</v>
      </c>
      <c r="H5" s="67">
        <v>2</v>
      </c>
      <c r="I5" s="64">
        <v>9</v>
      </c>
      <c r="J5" s="64">
        <f>I5*60</f>
        <v>540</v>
      </c>
      <c r="K5" s="61">
        <f>G5/I5</f>
        <v>28.888888888888889</v>
      </c>
      <c r="L5" s="61">
        <f>G5/J5</f>
        <v>0.48148148148148145</v>
      </c>
      <c r="M5" s="63">
        <f>G5/H5</f>
        <v>130</v>
      </c>
      <c r="N5" s="62">
        <v>115000</v>
      </c>
      <c r="O5" s="61">
        <f>N5/M5</f>
        <v>884.61538461538464</v>
      </c>
      <c r="Q5" s="90">
        <v>2</v>
      </c>
      <c r="R5" s="91" t="s">
        <v>83</v>
      </c>
      <c r="S5" s="91" t="s">
        <v>110</v>
      </c>
      <c r="T5" s="91" t="s">
        <v>122</v>
      </c>
      <c r="U5" s="91">
        <v>2</v>
      </c>
      <c r="V5" s="90">
        <v>1500</v>
      </c>
      <c r="W5" s="89" t="s">
        <v>100</v>
      </c>
    </row>
    <row r="6" spans="1:23" x14ac:dyDescent="0.25">
      <c r="A6" s="62" t="s">
        <v>38</v>
      </c>
      <c r="B6" s="62">
        <v>122</v>
      </c>
      <c r="C6" s="62">
        <v>244</v>
      </c>
      <c r="D6" s="62">
        <v>2.2000000000000002</v>
      </c>
      <c r="E6" s="62">
        <v>3</v>
      </c>
      <c r="F6" s="64" t="s">
        <v>39</v>
      </c>
      <c r="G6" s="68">
        <v>220</v>
      </c>
      <c r="H6" s="67">
        <v>2</v>
      </c>
      <c r="I6" s="64">
        <v>9</v>
      </c>
      <c r="J6" s="64">
        <f>I6*60</f>
        <v>540</v>
      </c>
      <c r="K6" s="61">
        <f>G6/I6</f>
        <v>24.444444444444443</v>
      </c>
      <c r="L6" s="61">
        <f>G6/J6</f>
        <v>0.40740740740740738</v>
      </c>
      <c r="M6" s="63">
        <f>G6/H6</f>
        <v>110</v>
      </c>
      <c r="N6" s="62">
        <v>115000</v>
      </c>
      <c r="O6" s="61">
        <f>N6/M6</f>
        <v>1045.4545454545455</v>
      </c>
      <c r="Q6" s="90">
        <v>3</v>
      </c>
      <c r="R6" s="91" t="s">
        <v>83</v>
      </c>
      <c r="S6" s="91" t="s">
        <v>110</v>
      </c>
      <c r="T6" s="91" t="s">
        <v>121</v>
      </c>
      <c r="U6" s="91">
        <v>2</v>
      </c>
      <c r="V6" s="90">
        <v>1750</v>
      </c>
      <c r="W6" s="89" t="s">
        <v>100</v>
      </c>
    </row>
    <row r="7" spans="1:23" x14ac:dyDescent="0.25">
      <c r="A7" s="62" t="s">
        <v>89</v>
      </c>
      <c r="B7" s="62">
        <v>122</v>
      </c>
      <c r="C7" s="62">
        <v>244</v>
      </c>
      <c r="D7" s="62">
        <v>3.7</v>
      </c>
      <c r="E7" s="62">
        <v>3</v>
      </c>
      <c r="F7" s="64" t="s">
        <v>39</v>
      </c>
      <c r="G7" s="68">
        <v>220</v>
      </c>
      <c r="H7" s="67">
        <v>2</v>
      </c>
      <c r="I7" s="64">
        <v>9</v>
      </c>
      <c r="J7" s="64">
        <f>I7*60</f>
        <v>540</v>
      </c>
      <c r="K7" s="61">
        <f>G7/I7</f>
        <v>24.444444444444443</v>
      </c>
      <c r="L7" s="61">
        <f>G7/J7</f>
        <v>0.40740740740740738</v>
      </c>
      <c r="M7" s="63">
        <f>G7/H7</f>
        <v>110</v>
      </c>
      <c r="N7" s="62">
        <v>115000</v>
      </c>
      <c r="O7" s="61">
        <f>N7/M7</f>
        <v>1045.4545454545455</v>
      </c>
      <c r="Q7" s="90">
        <v>4</v>
      </c>
      <c r="R7" s="89" t="s">
        <v>79</v>
      </c>
      <c r="S7" s="91"/>
      <c r="T7" s="91"/>
      <c r="U7" s="91">
        <v>1</v>
      </c>
      <c r="V7" s="90">
        <v>130</v>
      </c>
      <c r="W7" s="89" t="s">
        <v>100</v>
      </c>
    </row>
    <row r="8" spans="1:23" x14ac:dyDescent="0.25">
      <c r="A8" s="62" t="s">
        <v>38</v>
      </c>
      <c r="B8" s="62">
        <v>122</v>
      </c>
      <c r="C8" s="62">
        <v>244</v>
      </c>
      <c r="D8" s="62">
        <v>2.7</v>
      </c>
      <c r="E8" s="62">
        <v>3</v>
      </c>
      <c r="F8" s="64" t="s">
        <v>39</v>
      </c>
      <c r="G8" s="68">
        <v>210</v>
      </c>
      <c r="H8" s="67">
        <v>2</v>
      </c>
      <c r="I8" s="64">
        <v>9</v>
      </c>
      <c r="J8" s="64">
        <f>I8*60</f>
        <v>540</v>
      </c>
      <c r="K8" s="61">
        <f>G8/I8</f>
        <v>23.333333333333332</v>
      </c>
      <c r="L8" s="61">
        <f>G8/J8</f>
        <v>0.3888888888888889</v>
      </c>
      <c r="M8" s="63">
        <f>G8/H8</f>
        <v>105</v>
      </c>
      <c r="N8" s="62">
        <v>115000</v>
      </c>
      <c r="O8" s="61">
        <f>N8/M8</f>
        <v>1095.2380952380952</v>
      </c>
      <c r="Q8" s="90">
        <v>5</v>
      </c>
      <c r="R8" s="89" t="s">
        <v>120</v>
      </c>
      <c r="S8" s="91"/>
      <c r="T8" s="89" t="s">
        <v>116</v>
      </c>
      <c r="U8" s="91">
        <v>4</v>
      </c>
      <c r="V8" s="90">
        <v>270</v>
      </c>
      <c r="W8" s="89" t="s">
        <v>100</v>
      </c>
    </row>
    <row r="9" spans="1:23" x14ac:dyDescent="0.25">
      <c r="A9" s="62" t="s">
        <v>86</v>
      </c>
      <c r="B9" s="62">
        <v>122</v>
      </c>
      <c r="C9" s="62">
        <v>244</v>
      </c>
      <c r="D9" s="62">
        <v>3.7</v>
      </c>
      <c r="E9" s="62">
        <v>3</v>
      </c>
      <c r="F9" s="64" t="s">
        <v>40</v>
      </c>
      <c r="G9" s="68">
        <v>180</v>
      </c>
      <c r="H9" s="67">
        <v>2</v>
      </c>
      <c r="I9" s="64">
        <v>9</v>
      </c>
      <c r="J9" s="64">
        <f>I9*60</f>
        <v>540</v>
      </c>
      <c r="K9" s="61">
        <f>G9/I9</f>
        <v>20</v>
      </c>
      <c r="L9" s="61">
        <f>G9/J9</f>
        <v>0.33333333333333331</v>
      </c>
      <c r="M9" s="63">
        <f>G9/H9</f>
        <v>90</v>
      </c>
      <c r="N9" s="62">
        <v>115000</v>
      </c>
      <c r="O9" s="61">
        <f>N9/M9</f>
        <v>1277.7777777777778</v>
      </c>
      <c r="Q9" s="90">
        <v>6</v>
      </c>
      <c r="R9" s="89" t="s">
        <v>119</v>
      </c>
      <c r="S9" s="91"/>
      <c r="T9" s="89" t="s">
        <v>116</v>
      </c>
      <c r="U9" s="91">
        <v>4</v>
      </c>
      <c r="V9" s="90">
        <v>350</v>
      </c>
      <c r="W9" s="89" t="s">
        <v>100</v>
      </c>
    </row>
    <row r="10" spans="1:23" x14ac:dyDescent="0.25">
      <c r="A10" s="62" t="s">
        <v>38</v>
      </c>
      <c r="B10" s="62">
        <v>122</v>
      </c>
      <c r="C10" s="62">
        <v>130</v>
      </c>
      <c r="D10" s="62">
        <v>4</v>
      </c>
      <c r="E10" s="62">
        <v>3</v>
      </c>
      <c r="F10" s="64" t="s">
        <v>39</v>
      </c>
      <c r="G10" s="68">
        <v>300</v>
      </c>
      <c r="H10" s="67">
        <v>2</v>
      </c>
      <c r="I10" s="64">
        <v>9</v>
      </c>
      <c r="J10" s="64">
        <f>I10*60</f>
        <v>540</v>
      </c>
      <c r="K10" s="61">
        <f>G10/I10</f>
        <v>33.333333333333336</v>
      </c>
      <c r="L10" s="61">
        <f>G10/J10</f>
        <v>0.55555555555555558</v>
      </c>
      <c r="M10" s="63">
        <f>G10/H10</f>
        <v>150</v>
      </c>
      <c r="N10" s="62">
        <v>115000</v>
      </c>
      <c r="O10" s="61">
        <f>N10/M10</f>
        <v>766.66666666666663</v>
      </c>
      <c r="Q10" s="90">
        <v>7</v>
      </c>
      <c r="R10" s="89" t="s">
        <v>118</v>
      </c>
      <c r="S10" s="91"/>
      <c r="T10" s="89" t="s">
        <v>116</v>
      </c>
      <c r="U10" s="91">
        <v>1</v>
      </c>
      <c r="V10" s="90">
        <v>400</v>
      </c>
      <c r="W10" s="89" t="s">
        <v>100</v>
      </c>
    </row>
    <row r="11" spans="1:23" x14ac:dyDescent="0.25">
      <c r="A11" s="62" t="s">
        <v>38</v>
      </c>
      <c r="B11" s="62">
        <v>122</v>
      </c>
      <c r="C11" s="62">
        <v>130</v>
      </c>
      <c r="D11" s="62">
        <v>3.7</v>
      </c>
      <c r="E11" s="62">
        <v>3</v>
      </c>
      <c r="F11" s="64" t="s">
        <v>39</v>
      </c>
      <c r="G11" s="68">
        <v>330</v>
      </c>
      <c r="H11" s="67">
        <v>2</v>
      </c>
      <c r="I11" s="64">
        <v>9</v>
      </c>
      <c r="J11" s="64">
        <f>I11*60</f>
        <v>540</v>
      </c>
      <c r="K11" s="61">
        <f>G11/I11</f>
        <v>36.666666666666664</v>
      </c>
      <c r="L11" s="61">
        <f>G11/J11</f>
        <v>0.61111111111111116</v>
      </c>
      <c r="M11" s="63">
        <f>G11/H11</f>
        <v>165</v>
      </c>
      <c r="N11" s="62">
        <v>115000</v>
      </c>
      <c r="O11" s="61">
        <f>N11/M11</f>
        <v>696.969696969697</v>
      </c>
      <c r="Q11" s="90">
        <v>8</v>
      </c>
      <c r="R11" s="89" t="s">
        <v>117</v>
      </c>
      <c r="S11" s="91"/>
      <c r="T11" s="89" t="s">
        <v>116</v>
      </c>
      <c r="U11" s="91">
        <v>1</v>
      </c>
      <c r="V11" s="90">
        <v>450</v>
      </c>
      <c r="W11" s="89" t="s">
        <v>100</v>
      </c>
    </row>
    <row r="12" spans="1:23" x14ac:dyDescent="0.25">
      <c r="A12" s="62" t="s">
        <v>38</v>
      </c>
      <c r="B12" s="62">
        <v>122</v>
      </c>
      <c r="C12" s="62">
        <v>130</v>
      </c>
      <c r="D12" s="62">
        <v>2.2000000000000002</v>
      </c>
      <c r="E12" s="62">
        <v>3</v>
      </c>
      <c r="F12" s="64" t="s">
        <v>39</v>
      </c>
      <c r="G12" s="68">
        <v>350</v>
      </c>
      <c r="H12" s="67">
        <v>2</v>
      </c>
      <c r="I12" s="64">
        <v>9</v>
      </c>
      <c r="J12" s="64">
        <f>I12*60</f>
        <v>540</v>
      </c>
      <c r="K12" s="61">
        <f>G12/I12</f>
        <v>38.888888888888886</v>
      </c>
      <c r="L12" s="61">
        <f>G12/J12</f>
        <v>0.64814814814814814</v>
      </c>
      <c r="M12" s="63">
        <f>G12/H12</f>
        <v>175</v>
      </c>
      <c r="N12" s="62">
        <v>115000</v>
      </c>
      <c r="O12" s="61">
        <f>N12/M12</f>
        <v>657.14285714285711</v>
      </c>
      <c r="Q12" s="90">
        <v>9</v>
      </c>
      <c r="R12" s="89" t="s">
        <v>115</v>
      </c>
      <c r="S12" s="91"/>
      <c r="T12" s="91" t="s">
        <v>114</v>
      </c>
      <c r="U12" s="91">
        <v>2</v>
      </c>
      <c r="V12" s="90">
        <v>400</v>
      </c>
      <c r="W12" s="89" t="s">
        <v>100</v>
      </c>
    </row>
    <row r="13" spans="1:23" x14ac:dyDescent="0.25">
      <c r="A13" s="62" t="s">
        <v>38</v>
      </c>
      <c r="B13" s="62">
        <v>67</v>
      </c>
      <c r="C13" s="62">
        <v>68</v>
      </c>
      <c r="D13" s="62">
        <v>3.7</v>
      </c>
      <c r="E13" s="69" t="s">
        <v>36</v>
      </c>
      <c r="F13" s="64" t="s">
        <v>39</v>
      </c>
      <c r="G13" s="68">
        <v>400</v>
      </c>
      <c r="H13" s="67">
        <v>1</v>
      </c>
      <c r="I13" s="64">
        <v>9</v>
      </c>
      <c r="J13" s="64">
        <f>I13*60</f>
        <v>540</v>
      </c>
      <c r="K13" s="61">
        <f>G13/I13</f>
        <v>44.444444444444443</v>
      </c>
      <c r="L13" s="61">
        <f>G13/J13</f>
        <v>0.7407407407407407</v>
      </c>
      <c r="M13" s="63">
        <f>G13/H13</f>
        <v>400</v>
      </c>
      <c r="N13" s="62">
        <v>115000</v>
      </c>
      <c r="O13" s="61">
        <f>N13/M13</f>
        <v>287.5</v>
      </c>
      <c r="Q13" s="90">
        <v>10</v>
      </c>
      <c r="R13" s="89" t="s">
        <v>113</v>
      </c>
      <c r="S13" s="91"/>
      <c r="T13" s="89"/>
      <c r="U13" s="91">
        <v>2</v>
      </c>
      <c r="V13" s="90">
        <v>4</v>
      </c>
      <c r="W13" s="89" t="s">
        <v>111</v>
      </c>
    </row>
    <row r="14" spans="1:23" x14ac:dyDescent="0.25">
      <c r="A14" s="62" t="s">
        <v>38</v>
      </c>
      <c r="B14" s="62">
        <v>130</v>
      </c>
      <c r="C14" s="62">
        <v>68</v>
      </c>
      <c r="D14" s="62">
        <v>3.7</v>
      </c>
      <c r="E14" s="69" t="s">
        <v>36</v>
      </c>
      <c r="F14" s="64" t="s">
        <v>39</v>
      </c>
      <c r="G14" s="68">
        <v>250</v>
      </c>
      <c r="H14" s="67">
        <v>1</v>
      </c>
      <c r="I14" s="64">
        <v>9</v>
      </c>
      <c r="J14" s="64">
        <f>I14*60</f>
        <v>540</v>
      </c>
      <c r="K14" s="61">
        <f>G14/I14</f>
        <v>27.777777777777779</v>
      </c>
      <c r="L14" s="61">
        <f>G14/J14</f>
        <v>0.46296296296296297</v>
      </c>
      <c r="M14" s="63">
        <f>G14/H14</f>
        <v>250</v>
      </c>
      <c r="N14" s="62">
        <v>115000</v>
      </c>
      <c r="O14" s="61">
        <f>N14/M14</f>
        <v>460</v>
      </c>
      <c r="Q14" s="90">
        <v>11</v>
      </c>
      <c r="R14" s="91" t="s">
        <v>112</v>
      </c>
      <c r="S14" s="91"/>
      <c r="T14" s="91"/>
      <c r="U14" s="91">
        <v>2</v>
      </c>
      <c r="V14" s="90">
        <v>36</v>
      </c>
      <c r="W14" s="89" t="s">
        <v>111</v>
      </c>
    </row>
    <row r="15" spans="1:23" x14ac:dyDescent="0.25">
      <c r="A15" s="62" t="s">
        <v>38</v>
      </c>
      <c r="B15" s="62">
        <v>48</v>
      </c>
      <c r="C15" s="62">
        <v>68</v>
      </c>
      <c r="D15" s="62">
        <v>3.7</v>
      </c>
      <c r="E15" s="69" t="s">
        <v>36</v>
      </c>
      <c r="F15" s="64" t="s">
        <v>39</v>
      </c>
      <c r="G15" s="68">
        <v>450</v>
      </c>
      <c r="H15" s="67">
        <v>1</v>
      </c>
      <c r="I15" s="64">
        <v>9</v>
      </c>
      <c r="J15" s="64">
        <f>I15*60</f>
        <v>540</v>
      </c>
      <c r="K15" s="61">
        <f>G15/I15</f>
        <v>50</v>
      </c>
      <c r="L15" s="61">
        <f>G15/J15</f>
        <v>0.83333333333333337</v>
      </c>
      <c r="M15" s="63">
        <f>G15/H15</f>
        <v>450</v>
      </c>
      <c r="N15" s="62">
        <v>115000</v>
      </c>
      <c r="O15" s="61">
        <f>N15/M15</f>
        <v>255.55555555555554</v>
      </c>
      <c r="Q15" s="90">
        <v>12</v>
      </c>
      <c r="R15" s="89" t="s">
        <v>104</v>
      </c>
      <c r="S15" s="89" t="s">
        <v>110</v>
      </c>
      <c r="T15" s="89" t="s">
        <v>109</v>
      </c>
      <c r="U15" s="91">
        <v>1</v>
      </c>
      <c r="V15" s="90">
        <v>1000</v>
      </c>
      <c r="W15" s="89" t="s">
        <v>100</v>
      </c>
    </row>
    <row r="16" spans="1:23" x14ac:dyDescent="0.25">
      <c r="A16" s="62" t="s">
        <v>38</v>
      </c>
      <c r="B16" s="62">
        <v>244</v>
      </c>
      <c r="C16" s="62">
        <v>122</v>
      </c>
      <c r="D16" s="62">
        <v>0.5</v>
      </c>
      <c r="E16" s="69" t="s">
        <v>36</v>
      </c>
      <c r="F16" s="64" t="s">
        <v>39</v>
      </c>
      <c r="G16" s="68">
        <v>120</v>
      </c>
      <c r="H16" s="67">
        <v>1</v>
      </c>
      <c r="I16" s="64">
        <v>9</v>
      </c>
      <c r="J16" s="64">
        <f>I16*60</f>
        <v>540</v>
      </c>
      <c r="K16" s="61">
        <f>G16/I16</f>
        <v>13.333333333333334</v>
      </c>
      <c r="L16" s="61">
        <f>G16/J16</f>
        <v>0.22222222222222221</v>
      </c>
      <c r="M16" s="63">
        <f>G16/H16</f>
        <v>120</v>
      </c>
      <c r="N16" s="62">
        <v>115000</v>
      </c>
      <c r="O16" s="61">
        <f>N16/M16</f>
        <v>958.33333333333337</v>
      </c>
      <c r="Q16" s="90">
        <v>13</v>
      </c>
      <c r="R16" s="89" t="s">
        <v>104</v>
      </c>
      <c r="S16" s="89" t="s">
        <v>108</v>
      </c>
      <c r="T16" s="89" t="s">
        <v>105</v>
      </c>
      <c r="U16" s="91">
        <v>1</v>
      </c>
      <c r="V16" s="90">
        <v>400</v>
      </c>
      <c r="W16" s="89" t="s">
        <v>100</v>
      </c>
    </row>
    <row r="17" spans="1:23" x14ac:dyDescent="0.25">
      <c r="A17" s="77" t="s">
        <v>85</v>
      </c>
      <c r="B17" s="62">
        <v>122</v>
      </c>
      <c r="C17" s="62">
        <v>244</v>
      </c>
      <c r="D17" s="62">
        <v>1.8</v>
      </c>
      <c r="E17" s="69">
        <v>3</v>
      </c>
      <c r="F17" s="64" t="s">
        <v>39</v>
      </c>
      <c r="G17" s="68">
        <v>280</v>
      </c>
      <c r="H17" s="67">
        <v>2</v>
      </c>
      <c r="I17" s="64">
        <v>9</v>
      </c>
      <c r="J17" s="64">
        <f>I17*60</f>
        <v>540</v>
      </c>
      <c r="K17" s="61">
        <f>G17/I17</f>
        <v>31.111111111111111</v>
      </c>
      <c r="L17" s="61">
        <f>G17/J17</f>
        <v>0.51851851851851849</v>
      </c>
      <c r="M17" s="63">
        <f>G17/H17</f>
        <v>140</v>
      </c>
      <c r="N17" s="62">
        <v>115000</v>
      </c>
      <c r="O17" s="61">
        <f>N17/M17</f>
        <v>821.42857142857144</v>
      </c>
      <c r="Q17" s="90">
        <v>14</v>
      </c>
      <c r="R17" s="89" t="s">
        <v>104</v>
      </c>
      <c r="S17" s="89" t="s">
        <v>103</v>
      </c>
      <c r="T17" s="89" t="s">
        <v>105</v>
      </c>
      <c r="U17" s="91">
        <v>1</v>
      </c>
      <c r="V17" s="90">
        <v>500</v>
      </c>
      <c r="W17" s="89" t="s">
        <v>100</v>
      </c>
    </row>
    <row r="18" spans="1:23" x14ac:dyDescent="0.25">
      <c r="A18" s="66" t="s">
        <v>84</v>
      </c>
      <c r="B18" s="70"/>
      <c r="C18" s="62"/>
      <c r="D18" s="62">
        <v>3</v>
      </c>
      <c r="E18" s="69"/>
      <c r="F18" s="69" t="s">
        <v>47</v>
      </c>
      <c r="G18" s="68">
        <v>450</v>
      </c>
      <c r="H18" s="67">
        <v>2</v>
      </c>
      <c r="I18" s="64">
        <v>9</v>
      </c>
      <c r="J18" s="64">
        <f>I18*60</f>
        <v>540</v>
      </c>
      <c r="K18" s="61">
        <f>G18/I18</f>
        <v>50</v>
      </c>
      <c r="L18" s="61">
        <f>G18/J18</f>
        <v>0.83333333333333337</v>
      </c>
      <c r="M18" s="63">
        <f>G18/H18</f>
        <v>225</v>
      </c>
      <c r="N18" s="62">
        <v>115000</v>
      </c>
      <c r="O18" s="61">
        <f>N18/M18</f>
        <v>511.11111111111109</v>
      </c>
      <c r="Q18" s="90">
        <v>15</v>
      </c>
      <c r="R18" s="89" t="s">
        <v>104</v>
      </c>
      <c r="S18" s="89" t="s">
        <v>107</v>
      </c>
      <c r="T18" s="89" t="s">
        <v>105</v>
      </c>
      <c r="U18" s="91">
        <v>1</v>
      </c>
      <c r="V18" s="90">
        <v>330</v>
      </c>
      <c r="W18" s="89" t="s">
        <v>100</v>
      </c>
    </row>
    <row r="19" spans="1:23" x14ac:dyDescent="0.25">
      <c r="A19" s="66" t="s">
        <v>84</v>
      </c>
      <c r="B19" s="70"/>
      <c r="C19" s="62"/>
      <c r="D19" s="62">
        <v>4</v>
      </c>
      <c r="E19" s="69"/>
      <c r="F19" s="69" t="s">
        <v>47</v>
      </c>
      <c r="G19" s="68">
        <v>450</v>
      </c>
      <c r="H19" s="67">
        <v>2</v>
      </c>
      <c r="I19" s="64">
        <v>9</v>
      </c>
      <c r="J19" s="64">
        <f>I19*60</f>
        <v>540</v>
      </c>
      <c r="K19" s="61">
        <f>G19/I19</f>
        <v>50</v>
      </c>
      <c r="L19" s="61">
        <f>G19/J19</f>
        <v>0.83333333333333337</v>
      </c>
      <c r="M19" s="63">
        <f>G19/H19</f>
        <v>225</v>
      </c>
      <c r="N19" s="62">
        <v>115000</v>
      </c>
      <c r="O19" s="61">
        <f>N19/M19</f>
        <v>511.11111111111109</v>
      </c>
      <c r="Q19" s="90">
        <v>16</v>
      </c>
      <c r="R19" s="89" t="s">
        <v>104</v>
      </c>
      <c r="S19" s="89" t="s">
        <v>106</v>
      </c>
      <c r="T19" s="89" t="s">
        <v>105</v>
      </c>
      <c r="U19" s="91">
        <v>1</v>
      </c>
      <c r="V19" s="90">
        <v>330</v>
      </c>
      <c r="W19" s="89" t="s">
        <v>100</v>
      </c>
    </row>
    <row r="20" spans="1:23" x14ac:dyDescent="0.25">
      <c r="A20" s="66" t="s">
        <v>84</v>
      </c>
      <c r="B20" s="70"/>
      <c r="C20" s="62"/>
      <c r="D20" s="62">
        <v>5</v>
      </c>
      <c r="E20" s="69"/>
      <c r="F20" s="69" t="s">
        <v>47</v>
      </c>
      <c r="G20" s="68">
        <v>450</v>
      </c>
      <c r="H20" s="67">
        <v>2</v>
      </c>
      <c r="I20" s="64">
        <v>9</v>
      </c>
      <c r="J20" s="64">
        <f>I20*60</f>
        <v>540</v>
      </c>
      <c r="K20" s="61">
        <f>G20/I20</f>
        <v>50</v>
      </c>
      <c r="L20" s="61">
        <f>G20/J20</f>
        <v>0.83333333333333337</v>
      </c>
      <c r="M20" s="63">
        <f>G20/H20</f>
        <v>225</v>
      </c>
      <c r="N20" s="62">
        <v>115000</v>
      </c>
      <c r="O20" s="61">
        <f>N20/M20</f>
        <v>511.11111111111109</v>
      </c>
      <c r="Q20" s="90">
        <v>17</v>
      </c>
      <c r="R20" s="89" t="s">
        <v>104</v>
      </c>
      <c r="S20" s="89" t="s">
        <v>103</v>
      </c>
      <c r="T20" s="89" t="s">
        <v>102</v>
      </c>
      <c r="U20" s="91">
        <v>1</v>
      </c>
      <c r="V20" s="90">
        <v>150</v>
      </c>
      <c r="W20" s="89" t="s">
        <v>100</v>
      </c>
    </row>
    <row r="21" spans="1:23" x14ac:dyDescent="0.25">
      <c r="A21" s="66" t="s">
        <v>84</v>
      </c>
      <c r="B21" s="70"/>
      <c r="C21" s="62"/>
      <c r="D21" s="62">
        <v>6</v>
      </c>
      <c r="E21" s="69"/>
      <c r="F21" s="69" t="s">
        <v>47</v>
      </c>
      <c r="G21" s="68">
        <v>450</v>
      </c>
      <c r="H21" s="67">
        <v>2</v>
      </c>
      <c r="I21" s="64">
        <v>9</v>
      </c>
      <c r="J21" s="64">
        <f>I21*60</f>
        <v>540</v>
      </c>
      <c r="K21" s="61">
        <f>G21/I21</f>
        <v>50</v>
      </c>
      <c r="L21" s="61">
        <f>G21/J21</f>
        <v>0.83333333333333337</v>
      </c>
      <c r="M21" s="63">
        <f>G21/H21</f>
        <v>225</v>
      </c>
      <c r="N21" s="62">
        <v>115000</v>
      </c>
      <c r="O21" s="61">
        <f>N21/M21</f>
        <v>511.11111111111109</v>
      </c>
      <c r="Q21" s="90">
        <v>18</v>
      </c>
      <c r="R21" s="89" t="s">
        <v>101</v>
      </c>
      <c r="S21" s="91"/>
      <c r="T21" s="91"/>
      <c r="U21" s="91">
        <v>2</v>
      </c>
      <c r="V21" s="90">
        <v>550</v>
      </c>
      <c r="W21" s="89" t="s">
        <v>100</v>
      </c>
    </row>
    <row r="22" spans="1:23" x14ac:dyDescent="0.25">
      <c r="A22" s="66" t="s">
        <v>84</v>
      </c>
      <c r="B22" s="70"/>
      <c r="C22" s="62"/>
      <c r="D22" s="62">
        <v>8</v>
      </c>
      <c r="E22" s="69"/>
      <c r="F22" s="69" t="s">
        <v>47</v>
      </c>
      <c r="G22" s="68">
        <v>450</v>
      </c>
      <c r="H22" s="67">
        <v>2</v>
      </c>
      <c r="I22" s="64">
        <v>9</v>
      </c>
      <c r="J22" s="64">
        <f>I22*60</f>
        <v>540</v>
      </c>
      <c r="K22" s="61">
        <f>G22/I22</f>
        <v>50</v>
      </c>
      <c r="L22" s="61">
        <f>G22/J22</f>
        <v>0.83333333333333337</v>
      </c>
      <c r="M22" s="63">
        <f>G22/H22</f>
        <v>225</v>
      </c>
      <c r="N22" s="62">
        <v>115000</v>
      </c>
      <c r="O22" s="61">
        <f>N22/M22</f>
        <v>511.11111111111109</v>
      </c>
    </row>
    <row r="23" spans="1:23" x14ac:dyDescent="0.25">
      <c r="A23" s="66" t="s">
        <v>84</v>
      </c>
      <c r="B23" s="70"/>
      <c r="C23" s="62"/>
      <c r="D23" s="62">
        <v>9</v>
      </c>
      <c r="E23" s="69"/>
      <c r="F23" s="69" t="s">
        <v>47</v>
      </c>
      <c r="G23" s="68">
        <v>450</v>
      </c>
      <c r="H23" s="67">
        <v>2</v>
      </c>
      <c r="I23" s="64">
        <v>9</v>
      </c>
      <c r="J23" s="64">
        <f>I23*60</f>
        <v>540</v>
      </c>
      <c r="K23" s="61">
        <f>G23/I23</f>
        <v>50</v>
      </c>
      <c r="L23" s="61">
        <f>G23/J23</f>
        <v>0.83333333333333337</v>
      </c>
      <c r="M23" s="63">
        <f>G23/H23</f>
        <v>225</v>
      </c>
      <c r="N23" s="62">
        <v>115000</v>
      </c>
      <c r="O23" s="61">
        <f>N23/M23</f>
        <v>511.11111111111109</v>
      </c>
    </row>
    <row r="24" spans="1:23" x14ac:dyDescent="0.25">
      <c r="A24" s="66" t="s">
        <v>84</v>
      </c>
      <c r="B24" s="70"/>
      <c r="C24" s="62"/>
      <c r="D24" s="62">
        <v>12</v>
      </c>
      <c r="E24" s="69"/>
      <c r="F24" s="69" t="s">
        <v>47</v>
      </c>
      <c r="G24" s="68">
        <v>450</v>
      </c>
      <c r="H24" s="67">
        <v>2</v>
      </c>
      <c r="I24" s="64">
        <v>9</v>
      </c>
      <c r="J24" s="64">
        <f>I24*60</f>
        <v>540</v>
      </c>
      <c r="K24" s="61">
        <f>G24/I24</f>
        <v>50</v>
      </c>
      <c r="L24" s="61">
        <f>G24/J24</f>
        <v>0.83333333333333337</v>
      </c>
      <c r="M24" s="63">
        <f>G24/H24</f>
        <v>225</v>
      </c>
      <c r="N24" s="62">
        <v>115000</v>
      </c>
      <c r="O24" s="61">
        <f>N24/M24</f>
        <v>511.11111111111109</v>
      </c>
    </row>
    <row r="25" spans="1:23" x14ac:dyDescent="0.25">
      <c r="A25" s="66" t="s">
        <v>84</v>
      </c>
      <c r="B25" s="70"/>
      <c r="C25" s="62"/>
      <c r="D25" s="62">
        <v>15</v>
      </c>
      <c r="E25" s="69"/>
      <c r="F25" s="69" t="s">
        <v>47</v>
      </c>
      <c r="G25" s="68">
        <v>400</v>
      </c>
      <c r="H25" s="67">
        <v>2</v>
      </c>
      <c r="I25" s="64">
        <v>9</v>
      </c>
      <c r="J25" s="64">
        <f>I25*60</f>
        <v>540</v>
      </c>
      <c r="K25" s="61">
        <f>G25/I25</f>
        <v>44.444444444444443</v>
      </c>
      <c r="L25" s="61">
        <f>G25/J25</f>
        <v>0.7407407407407407</v>
      </c>
      <c r="M25" s="63">
        <f>G25/H25</f>
        <v>200</v>
      </c>
      <c r="N25" s="62">
        <v>115000</v>
      </c>
      <c r="O25" s="61">
        <f>N25/M25</f>
        <v>575</v>
      </c>
    </row>
    <row r="26" spans="1:23" x14ac:dyDescent="0.25">
      <c r="A26" s="66" t="s">
        <v>84</v>
      </c>
      <c r="B26" s="70"/>
      <c r="C26" s="62"/>
      <c r="D26" s="62">
        <v>18</v>
      </c>
      <c r="E26" s="69"/>
      <c r="F26" s="69" t="s">
        <v>47</v>
      </c>
      <c r="G26" s="68">
        <v>400</v>
      </c>
      <c r="H26" s="67">
        <v>2</v>
      </c>
      <c r="I26" s="64">
        <v>9</v>
      </c>
      <c r="J26" s="64">
        <f>I26*60</f>
        <v>540</v>
      </c>
      <c r="K26" s="61">
        <f>G26/I26</f>
        <v>44.444444444444443</v>
      </c>
      <c r="L26" s="61">
        <f>G26/J26</f>
        <v>0.7407407407407407</v>
      </c>
      <c r="M26" s="63">
        <f>G26/H26</f>
        <v>200</v>
      </c>
      <c r="N26" s="62">
        <v>115000</v>
      </c>
      <c r="O26" s="61">
        <f>N26/M26</f>
        <v>575</v>
      </c>
    </row>
    <row r="27" spans="1:23" x14ac:dyDescent="0.25">
      <c r="A27" s="66" t="s">
        <v>84</v>
      </c>
      <c r="B27" s="70"/>
      <c r="C27" s="62"/>
      <c r="D27" s="62">
        <v>3</v>
      </c>
      <c r="E27" s="69"/>
      <c r="F27" s="69" t="s">
        <v>58</v>
      </c>
      <c r="G27" s="68">
        <v>550</v>
      </c>
      <c r="H27" s="67">
        <v>2</v>
      </c>
      <c r="I27" s="64">
        <v>9</v>
      </c>
      <c r="J27" s="64">
        <f>I27*60</f>
        <v>540</v>
      </c>
      <c r="K27" s="61">
        <f>G27/I27</f>
        <v>61.111111111111114</v>
      </c>
      <c r="L27" s="61">
        <f>G27/J27</f>
        <v>1.0185185185185186</v>
      </c>
      <c r="M27" s="63">
        <f>G27/H27</f>
        <v>275</v>
      </c>
      <c r="N27" s="62">
        <v>115000</v>
      </c>
      <c r="O27" s="61">
        <f>N27/M27</f>
        <v>418.18181818181819</v>
      </c>
    </row>
    <row r="28" spans="1:23" x14ac:dyDescent="0.25">
      <c r="A28" s="66" t="s">
        <v>84</v>
      </c>
      <c r="B28" s="70"/>
      <c r="C28" s="62"/>
      <c r="D28" s="62">
        <v>4</v>
      </c>
      <c r="E28" s="69"/>
      <c r="F28" s="69" t="s">
        <v>58</v>
      </c>
      <c r="G28" s="68">
        <v>550</v>
      </c>
      <c r="H28" s="67">
        <v>2</v>
      </c>
      <c r="I28" s="64">
        <v>9</v>
      </c>
      <c r="J28" s="64">
        <f>I28*60</f>
        <v>540</v>
      </c>
      <c r="K28" s="61">
        <f>G28/I28</f>
        <v>61.111111111111114</v>
      </c>
      <c r="L28" s="61">
        <f>G28/J28</f>
        <v>1.0185185185185186</v>
      </c>
      <c r="M28" s="63">
        <f>G28/H28</f>
        <v>275</v>
      </c>
      <c r="N28" s="62">
        <v>115000</v>
      </c>
      <c r="O28" s="61">
        <f>N28/M28</f>
        <v>418.18181818181819</v>
      </c>
    </row>
    <row r="29" spans="1:23" x14ac:dyDescent="0.25">
      <c r="A29" s="66" t="s">
        <v>84</v>
      </c>
      <c r="B29" s="70"/>
      <c r="C29" s="62"/>
      <c r="D29" s="62">
        <v>5</v>
      </c>
      <c r="E29" s="69"/>
      <c r="F29" s="69" t="s">
        <v>58</v>
      </c>
      <c r="G29" s="68">
        <v>550</v>
      </c>
      <c r="H29" s="67">
        <v>2</v>
      </c>
      <c r="I29" s="64">
        <v>9</v>
      </c>
      <c r="J29" s="64">
        <f>I29*60</f>
        <v>540</v>
      </c>
      <c r="K29" s="61">
        <f>G29/I29</f>
        <v>61.111111111111114</v>
      </c>
      <c r="L29" s="61">
        <f>G29/J29</f>
        <v>1.0185185185185186</v>
      </c>
      <c r="M29" s="63">
        <f>G29/H29</f>
        <v>275</v>
      </c>
      <c r="N29" s="62">
        <v>115000</v>
      </c>
      <c r="O29" s="61">
        <f>N29/M29</f>
        <v>418.18181818181819</v>
      </c>
    </row>
    <row r="30" spans="1:23" x14ac:dyDescent="0.25">
      <c r="A30" s="66" t="s">
        <v>84</v>
      </c>
      <c r="B30" s="70"/>
      <c r="C30" s="62"/>
      <c r="D30" s="62">
        <v>6</v>
      </c>
      <c r="E30" s="69"/>
      <c r="F30" s="69" t="s">
        <v>58</v>
      </c>
      <c r="G30" s="68">
        <v>550</v>
      </c>
      <c r="H30" s="67">
        <v>2</v>
      </c>
      <c r="I30" s="64">
        <v>9</v>
      </c>
      <c r="J30" s="64">
        <f>I30*60</f>
        <v>540</v>
      </c>
      <c r="K30" s="61">
        <f>G30/I30</f>
        <v>61.111111111111114</v>
      </c>
      <c r="L30" s="61">
        <f>G30/J30</f>
        <v>1.0185185185185186</v>
      </c>
      <c r="M30" s="63">
        <f>G30/H30</f>
        <v>275</v>
      </c>
      <c r="N30" s="62">
        <v>115000</v>
      </c>
      <c r="O30" s="61">
        <f>N30/M30</f>
        <v>418.18181818181819</v>
      </c>
    </row>
    <row r="31" spans="1:23" x14ac:dyDescent="0.25">
      <c r="A31" s="66" t="s">
        <v>84</v>
      </c>
      <c r="B31" s="70"/>
      <c r="C31" s="62"/>
      <c r="D31" s="62">
        <v>8</v>
      </c>
      <c r="E31" s="69"/>
      <c r="F31" s="69" t="s">
        <v>58</v>
      </c>
      <c r="G31" s="68">
        <v>550</v>
      </c>
      <c r="H31" s="67">
        <v>2</v>
      </c>
      <c r="I31" s="64">
        <v>9</v>
      </c>
      <c r="J31" s="64">
        <f>I31*60</f>
        <v>540</v>
      </c>
      <c r="K31" s="61">
        <f>G31/I31</f>
        <v>61.111111111111114</v>
      </c>
      <c r="L31" s="61">
        <f>G31/J31</f>
        <v>1.0185185185185186</v>
      </c>
      <c r="M31" s="63">
        <f>G31/H31</f>
        <v>275</v>
      </c>
      <c r="N31" s="62">
        <v>115000</v>
      </c>
      <c r="O31" s="61">
        <f>N31/M31</f>
        <v>418.18181818181819</v>
      </c>
    </row>
    <row r="32" spans="1:23" x14ac:dyDescent="0.25">
      <c r="A32" s="66" t="s">
        <v>84</v>
      </c>
      <c r="B32" s="70"/>
      <c r="C32" s="62"/>
      <c r="D32" s="62">
        <v>9</v>
      </c>
      <c r="E32" s="69"/>
      <c r="F32" s="69" t="s">
        <v>58</v>
      </c>
      <c r="G32" s="68">
        <v>550</v>
      </c>
      <c r="H32" s="67">
        <v>2</v>
      </c>
      <c r="I32" s="64">
        <v>9</v>
      </c>
      <c r="J32" s="64">
        <f>I32*60</f>
        <v>540</v>
      </c>
      <c r="K32" s="61">
        <f>G32/I32</f>
        <v>61.111111111111114</v>
      </c>
      <c r="L32" s="61">
        <f>G32/J32</f>
        <v>1.0185185185185186</v>
      </c>
      <c r="M32" s="63">
        <f>G32/H32</f>
        <v>275</v>
      </c>
      <c r="N32" s="62">
        <v>115000</v>
      </c>
      <c r="O32" s="61">
        <f>N32/M32</f>
        <v>418.18181818181819</v>
      </c>
    </row>
    <row r="33" spans="1:15" x14ac:dyDescent="0.25">
      <c r="A33" s="66" t="s">
        <v>84</v>
      </c>
      <c r="B33" s="70"/>
      <c r="C33" s="62"/>
      <c r="D33" s="62">
        <v>12</v>
      </c>
      <c r="E33" s="69"/>
      <c r="F33" s="69" t="s">
        <v>58</v>
      </c>
      <c r="G33" s="68">
        <v>550</v>
      </c>
      <c r="H33" s="67">
        <v>2</v>
      </c>
      <c r="I33" s="64">
        <v>9</v>
      </c>
      <c r="J33" s="64">
        <f>I33*60</f>
        <v>540</v>
      </c>
      <c r="K33" s="61">
        <f>G33/I33</f>
        <v>61.111111111111114</v>
      </c>
      <c r="L33" s="61">
        <f>G33/J33</f>
        <v>1.0185185185185186</v>
      </c>
      <c r="M33" s="63">
        <f>G33/H33</f>
        <v>275</v>
      </c>
      <c r="N33" s="62">
        <v>115000</v>
      </c>
      <c r="O33" s="61">
        <f>N33/M33</f>
        <v>418.18181818181819</v>
      </c>
    </row>
    <row r="34" spans="1:15" x14ac:dyDescent="0.25">
      <c r="A34" s="66" t="s">
        <v>84</v>
      </c>
      <c r="B34" s="62"/>
      <c r="C34" s="62"/>
      <c r="D34" s="62">
        <v>15</v>
      </c>
      <c r="E34" s="69"/>
      <c r="F34" s="69" t="s">
        <v>58</v>
      </c>
      <c r="G34" s="68">
        <v>500</v>
      </c>
      <c r="H34" s="67">
        <v>2</v>
      </c>
      <c r="I34" s="64">
        <v>9</v>
      </c>
      <c r="J34" s="64">
        <f>I34*60</f>
        <v>540</v>
      </c>
      <c r="K34" s="61">
        <f>G34/I34</f>
        <v>55.555555555555557</v>
      </c>
      <c r="L34" s="61">
        <f>G34/J34</f>
        <v>0.92592592592592593</v>
      </c>
      <c r="M34" s="63">
        <f>G34/H34</f>
        <v>250</v>
      </c>
      <c r="N34" s="62">
        <v>115000</v>
      </c>
      <c r="O34" s="61">
        <f>N34/M34</f>
        <v>460</v>
      </c>
    </row>
    <row r="35" spans="1:15" x14ac:dyDescent="0.25">
      <c r="A35" s="66" t="s">
        <v>84</v>
      </c>
      <c r="B35" s="62"/>
      <c r="C35" s="62"/>
      <c r="D35" s="62">
        <v>18</v>
      </c>
      <c r="E35" s="69"/>
      <c r="F35" s="69" t="s">
        <v>58</v>
      </c>
      <c r="G35" s="68">
        <v>500</v>
      </c>
      <c r="H35" s="67">
        <v>2</v>
      </c>
      <c r="I35" s="64">
        <v>9</v>
      </c>
      <c r="J35" s="64">
        <f>I35*60</f>
        <v>540</v>
      </c>
      <c r="K35" s="61">
        <f>G35/I35</f>
        <v>55.555555555555557</v>
      </c>
      <c r="L35" s="61">
        <f>G35/J35</f>
        <v>0.92592592592592593</v>
      </c>
      <c r="M35" s="63">
        <f>G35/H35</f>
        <v>250</v>
      </c>
      <c r="N35" s="62">
        <v>115000</v>
      </c>
      <c r="O35" s="61">
        <f>N35/M35</f>
        <v>460</v>
      </c>
    </row>
    <row r="36" spans="1:15" x14ac:dyDescent="0.25">
      <c r="A36" s="66" t="s">
        <v>83</v>
      </c>
      <c r="B36" s="62"/>
      <c r="C36" s="62"/>
      <c r="D36" s="62">
        <v>5</v>
      </c>
      <c r="E36" s="69"/>
      <c r="F36" s="62"/>
      <c r="G36" s="68">
        <v>2000</v>
      </c>
      <c r="H36" s="64">
        <v>2</v>
      </c>
      <c r="I36" s="64">
        <v>9</v>
      </c>
      <c r="J36" s="64">
        <f>I36*60</f>
        <v>540</v>
      </c>
      <c r="K36" s="61">
        <f>G36/I36</f>
        <v>222.22222222222223</v>
      </c>
      <c r="L36" s="61">
        <f>G36/J36</f>
        <v>3.7037037037037037</v>
      </c>
      <c r="M36" s="63">
        <f>G36/H36</f>
        <v>1000</v>
      </c>
      <c r="N36" s="62">
        <v>115000</v>
      </c>
      <c r="O36" s="61">
        <f>N36/M36</f>
        <v>115</v>
      </c>
    </row>
    <row r="37" spans="1:15" x14ac:dyDescent="0.25">
      <c r="A37" s="66" t="s">
        <v>83</v>
      </c>
      <c r="B37" s="62"/>
      <c r="C37" s="62"/>
      <c r="D37" s="62">
        <v>6</v>
      </c>
      <c r="E37" s="69"/>
      <c r="F37" s="62"/>
      <c r="G37" s="68">
        <v>800</v>
      </c>
      <c r="H37" s="64">
        <v>2</v>
      </c>
      <c r="I37" s="64">
        <v>9</v>
      </c>
      <c r="J37" s="64">
        <f>I37*60</f>
        <v>540</v>
      </c>
      <c r="K37" s="61">
        <f>G37/I37</f>
        <v>88.888888888888886</v>
      </c>
      <c r="L37" s="61">
        <f>G37/J37</f>
        <v>1.4814814814814814</v>
      </c>
      <c r="M37" s="63">
        <f>G37/H37</f>
        <v>400</v>
      </c>
      <c r="N37" s="62">
        <v>115000</v>
      </c>
      <c r="O37" s="61">
        <f>N37/M37</f>
        <v>287.5</v>
      </c>
    </row>
    <row r="38" spans="1:15" x14ac:dyDescent="0.25">
      <c r="A38" s="66" t="s">
        <v>83</v>
      </c>
      <c r="B38" s="62"/>
      <c r="C38" s="62"/>
      <c r="D38" s="62">
        <v>8</v>
      </c>
      <c r="E38" s="69"/>
      <c r="F38" s="62"/>
      <c r="G38" s="68">
        <v>800</v>
      </c>
      <c r="H38" s="64">
        <v>2</v>
      </c>
      <c r="I38" s="64">
        <v>9</v>
      </c>
      <c r="J38" s="64">
        <f>I38*60</f>
        <v>540</v>
      </c>
      <c r="K38" s="61">
        <f>G38/I38</f>
        <v>88.888888888888886</v>
      </c>
      <c r="L38" s="61">
        <f>G38/J38</f>
        <v>1.4814814814814814</v>
      </c>
      <c r="M38" s="63">
        <f>G38/H38</f>
        <v>400</v>
      </c>
      <c r="N38" s="62">
        <v>115000</v>
      </c>
      <c r="O38" s="61">
        <f>N38/M38</f>
        <v>287.5</v>
      </c>
    </row>
    <row r="39" spans="1:15" x14ac:dyDescent="0.25">
      <c r="A39" s="66" t="s">
        <v>83</v>
      </c>
      <c r="B39" s="62"/>
      <c r="C39" s="62"/>
      <c r="D39" s="62">
        <v>9</v>
      </c>
      <c r="E39" s="69"/>
      <c r="F39" s="62"/>
      <c r="G39" s="68">
        <v>800</v>
      </c>
      <c r="H39" s="64">
        <v>2</v>
      </c>
      <c r="I39" s="64">
        <v>9</v>
      </c>
      <c r="J39" s="64">
        <f>I39*60</f>
        <v>540</v>
      </c>
      <c r="K39" s="61">
        <f>G39/I39</f>
        <v>88.888888888888886</v>
      </c>
      <c r="L39" s="61">
        <f>G39/J39</f>
        <v>1.4814814814814814</v>
      </c>
      <c r="M39" s="63">
        <f>G39/H39</f>
        <v>400</v>
      </c>
      <c r="N39" s="62">
        <v>115000</v>
      </c>
      <c r="O39" s="61">
        <f>N39/M39</f>
        <v>287.5</v>
      </c>
    </row>
    <row r="40" spans="1:15" x14ac:dyDescent="0.25">
      <c r="A40" s="66" t="s">
        <v>83</v>
      </c>
      <c r="B40" s="62"/>
      <c r="C40" s="62"/>
      <c r="D40" s="62">
        <v>12</v>
      </c>
      <c r="E40" s="69"/>
      <c r="F40" s="62"/>
      <c r="G40" s="68">
        <v>800</v>
      </c>
      <c r="H40" s="64">
        <v>2</v>
      </c>
      <c r="I40" s="64">
        <v>9</v>
      </c>
      <c r="J40" s="64">
        <f>I40*60</f>
        <v>540</v>
      </c>
      <c r="K40" s="61">
        <f>G40/I40</f>
        <v>88.888888888888886</v>
      </c>
      <c r="L40" s="61">
        <f>G40/J40</f>
        <v>1.4814814814814814</v>
      </c>
      <c r="M40" s="63">
        <f>G40/H40</f>
        <v>400</v>
      </c>
      <c r="N40" s="62">
        <v>115000</v>
      </c>
      <c r="O40" s="61">
        <f>N40/M40</f>
        <v>287.5</v>
      </c>
    </row>
    <row r="41" spans="1:15" x14ac:dyDescent="0.25">
      <c r="A41" s="66" t="s">
        <v>83</v>
      </c>
      <c r="B41" s="62"/>
      <c r="C41" s="62"/>
      <c r="D41" s="62">
        <v>15</v>
      </c>
      <c r="E41" s="69"/>
      <c r="F41" s="62"/>
      <c r="G41" s="68">
        <v>600</v>
      </c>
      <c r="H41" s="64">
        <v>2</v>
      </c>
      <c r="I41" s="64">
        <v>9</v>
      </c>
      <c r="J41" s="64">
        <f>I41*60</f>
        <v>540</v>
      </c>
      <c r="K41" s="61">
        <f>G41/I41</f>
        <v>66.666666666666671</v>
      </c>
      <c r="L41" s="61">
        <f>G41/J41</f>
        <v>1.1111111111111112</v>
      </c>
      <c r="M41" s="63">
        <f>G41/H41</f>
        <v>300</v>
      </c>
      <c r="N41" s="62">
        <v>115000</v>
      </c>
      <c r="O41" s="61">
        <f>N41/M41</f>
        <v>383.33333333333331</v>
      </c>
    </row>
    <row r="42" spans="1:15" x14ac:dyDescent="0.25">
      <c r="A42" s="82" t="s">
        <v>83</v>
      </c>
      <c r="B42" s="77"/>
      <c r="C42" s="77"/>
      <c r="D42" s="77">
        <v>18</v>
      </c>
      <c r="E42" s="81"/>
      <c r="F42" s="77"/>
      <c r="G42" s="80">
        <v>600</v>
      </c>
      <c r="H42" s="79">
        <v>2</v>
      </c>
      <c r="I42" s="64">
        <v>9</v>
      </c>
      <c r="J42" s="64">
        <f>I42*60</f>
        <v>540</v>
      </c>
      <c r="K42" s="76">
        <f>G42/I42</f>
        <v>66.666666666666671</v>
      </c>
      <c r="L42" s="61">
        <f>G42/J42</f>
        <v>1.1111111111111112</v>
      </c>
      <c r="M42" s="78">
        <f>G42/H42</f>
        <v>300</v>
      </c>
      <c r="N42" s="77">
        <v>115000</v>
      </c>
      <c r="O42" s="76">
        <f>N42/M42</f>
        <v>383.33333333333331</v>
      </c>
    </row>
    <row r="43" spans="1:15" x14ac:dyDescent="0.25">
      <c r="A43" s="62" t="s">
        <v>82</v>
      </c>
      <c r="B43" s="62"/>
      <c r="C43" s="62"/>
      <c r="D43" s="62">
        <v>3</v>
      </c>
      <c r="E43" s="69"/>
      <c r="F43" s="62"/>
      <c r="G43" s="68">
        <v>1800</v>
      </c>
      <c r="H43" s="64">
        <v>2</v>
      </c>
      <c r="I43" s="64">
        <v>9</v>
      </c>
      <c r="J43" s="64">
        <f>I43*60</f>
        <v>540</v>
      </c>
      <c r="K43" s="61">
        <f>G43/I43</f>
        <v>200</v>
      </c>
      <c r="L43" s="61">
        <f>G43/J43</f>
        <v>3.3333333333333335</v>
      </c>
      <c r="M43" s="63">
        <f>G43/H43</f>
        <v>900</v>
      </c>
      <c r="N43" s="62">
        <v>115000</v>
      </c>
      <c r="O43" s="61">
        <f>N43/M43</f>
        <v>127.77777777777777</v>
      </c>
    </row>
    <row r="44" spans="1:15" x14ac:dyDescent="0.25">
      <c r="A44" s="62" t="s">
        <v>82</v>
      </c>
      <c r="B44" s="62"/>
      <c r="C44" s="62"/>
      <c r="D44" s="62">
        <v>4</v>
      </c>
      <c r="E44" s="69"/>
      <c r="F44" s="62"/>
      <c r="G44" s="68">
        <v>1800</v>
      </c>
      <c r="H44" s="64">
        <v>2</v>
      </c>
      <c r="I44" s="64">
        <v>9</v>
      </c>
      <c r="J44" s="64">
        <f>I44*60</f>
        <v>540</v>
      </c>
      <c r="K44" s="61">
        <f>G44/I44</f>
        <v>200</v>
      </c>
      <c r="L44" s="61">
        <f>G44/J44</f>
        <v>3.3333333333333335</v>
      </c>
      <c r="M44" s="63">
        <f>G44/H44</f>
        <v>900</v>
      </c>
      <c r="N44" s="62">
        <v>115000</v>
      </c>
      <c r="O44" s="61">
        <f>N44/M44</f>
        <v>127.77777777777777</v>
      </c>
    </row>
    <row r="45" spans="1:15" x14ac:dyDescent="0.25">
      <c r="A45" s="62" t="s">
        <v>82</v>
      </c>
      <c r="B45" s="62"/>
      <c r="C45" s="62"/>
      <c r="D45" s="62">
        <v>5</v>
      </c>
      <c r="E45" s="69"/>
      <c r="F45" s="62"/>
      <c r="G45" s="68">
        <v>1800</v>
      </c>
      <c r="H45" s="64">
        <v>2</v>
      </c>
      <c r="I45" s="64">
        <v>9</v>
      </c>
      <c r="J45" s="64">
        <f>I45*60</f>
        <v>540</v>
      </c>
      <c r="K45" s="61">
        <f>G45/I45</f>
        <v>200</v>
      </c>
      <c r="L45" s="61">
        <f>G45/J45</f>
        <v>3.3333333333333335</v>
      </c>
      <c r="M45" s="63">
        <f>G45/H45</f>
        <v>900</v>
      </c>
      <c r="N45" s="62">
        <v>115000</v>
      </c>
      <c r="O45" s="61">
        <f>N45/M45</f>
        <v>127.77777777777777</v>
      </c>
    </row>
    <row r="46" spans="1:15" x14ac:dyDescent="0.25">
      <c r="A46" s="62" t="s">
        <v>82</v>
      </c>
      <c r="B46" s="62"/>
      <c r="C46" s="62"/>
      <c r="D46" s="62">
        <v>6</v>
      </c>
      <c r="E46" s="69"/>
      <c r="F46" s="62"/>
      <c r="G46" s="68"/>
      <c r="H46" s="64">
        <v>2</v>
      </c>
      <c r="I46" s="64">
        <v>9</v>
      </c>
      <c r="J46" s="64">
        <f>I46*60</f>
        <v>540</v>
      </c>
      <c r="K46" s="61">
        <f>G46/I46</f>
        <v>0</v>
      </c>
      <c r="L46" s="61">
        <f>G46/J46</f>
        <v>0</v>
      </c>
      <c r="M46" s="63">
        <f>G46/H46</f>
        <v>0</v>
      </c>
      <c r="N46" s="62">
        <v>115000</v>
      </c>
      <c r="O46" s="61" t="e">
        <f>N46/M46</f>
        <v>#DIV/0!</v>
      </c>
    </row>
    <row r="47" spans="1:15" x14ac:dyDescent="0.25">
      <c r="A47" s="62" t="s">
        <v>82</v>
      </c>
      <c r="B47" s="62"/>
      <c r="C47" s="62"/>
      <c r="D47" s="62">
        <v>8</v>
      </c>
      <c r="E47" s="69"/>
      <c r="F47" s="62"/>
      <c r="G47" s="68"/>
      <c r="H47" s="64">
        <v>2</v>
      </c>
      <c r="I47" s="64">
        <v>9</v>
      </c>
      <c r="J47" s="64">
        <f>I47*60</f>
        <v>540</v>
      </c>
      <c r="K47" s="61">
        <f>G47/I47</f>
        <v>0</v>
      </c>
      <c r="L47" s="61">
        <f>G47/J47</f>
        <v>0</v>
      </c>
      <c r="M47" s="63">
        <f>G47/H47</f>
        <v>0</v>
      </c>
      <c r="N47" s="62">
        <v>115000</v>
      </c>
      <c r="O47" s="61" t="e">
        <f>N47/M47</f>
        <v>#DIV/0!</v>
      </c>
    </row>
    <row r="48" spans="1:15" x14ac:dyDescent="0.25">
      <c r="A48" s="62" t="s">
        <v>82</v>
      </c>
      <c r="B48" s="73"/>
      <c r="C48" s="73"/>
      <c r="D48" s="73">
        <v>9</v>
      </c>
      <c r="E48" s="73"/>
      <c r="F48" s="73"/>
      <c r="G48" s="73"/>
      <c r="H48" s="64">
        <v>2</v>
      </c>
      <c r="I48" s="64">
        <v>9</v>
      </c>
      <c r="J48" s="64">
        <f>I48*60</f>
        <v>540</v>
      </c>
      <c r="K48" s="61">
        <f>G48/I48</f>
        <v>0</v>
      </c>
      <c r="L48" s="61">
        <f>G48/J48</f>
        <v>0</v>
      </c>
      <c r="M48" s="63">
        <f>G48/H48</f>
        <v>0</v>
      </c>
      <c r="N48" s="62">
        <v>115000</v>
      </c>
      <c r="O48" s="61" t="e">
        <f>N48/M48</f>
        <v>#DIV/0!</v>
      </c>
    </row>
    <row r="49" spans="1:15" x14ac:dyDescent="0.25">
      <c r="A49" s="62" t="s">
        <v>82</v>
      </c>
      <c r="B49" s="73"/>
      <c r="C49" s="73"/>
      <c r="D49" s="73">
        <v>12</v>
      </c>
      <c r="E49" s="73"/>
      <c r="F49" s="73"/>
      <c r="G49" s="73"/>
      <c r="H49" s="64">
        <v>2</v>
      </c>
      <c r="I49" s="64">
        <v>9</v>
      </c>
      <c r="J49" s="64">
        <f>I49*60</f>
        <v>540</v>
      </c>
      <c r="K49" s="61">
        <f>G49/I49</f>
        <v>0</v>
      </c>
      <c r="L49" s="61">
        <f>G49/J49</f>
        <v>0</v>
      </c>
      <c r="M49" s="63">
        <f>G49/H49</f>
        <v>0</v>
      </c>
      <c r="N49" s="62">
        <v>115000</v>
      </c>
      <c r="O49" s="61" t="e">
        <f>N49/M49</f>
        <v>#DIV/0!</v>
      </c>
    </row>
    <row r="50" spans="1:15" x14ac:dyDescent="0.25">
      <c r="A50" s="62" t="s">
        <v>82</v>
      </c>
      <c r="B50" s="73"/>
      <c r="C50" s="73"/>
      <c r="D50" s="73">
        <v>15</v>
      </c>
      <c r="E50" s="73"/>
      <c r="F50" s="73"/>
      <c r="G50" s="73">
        <v>600</v>
      </c>
      <c r="H50" s="64">
        <v>2</v>
      </c>
      <c r="I50" s="64">
        <v>9</v>
      </c>
      <c r="J50" s="64">
        <f>I50*60</f>
        <v>540</v>
      </c>
      <c r="K50" s="61">
        <f>G50/I50</f>
        <v>66.666666666666671</v>
      </c>
      <c r="L50" s="61">
        <f>G50/J50</f>
        <v>1.1111111111111112</v>
      </c>
      <c r="M50" s="63">
        <f>G50/H50</f>
        <v>300</v>
      </c>
      <c r="N50" s="62">
        <v>115000</v>
      </c>
      <c r="O50" s="61">
        <f>N50/M50</f>
        <v>383.33333333333331</v>
      </c>
    </row>
    <row r="51" spans="1:15" x14ac:dyDescent="0.25">
      <c r="A51" s="62" t="s">
        <v>82</v>
      </c>
      <c r="B51" s="73"/>
      <c r="C51" s="73"/>
      <c r="D51" s="73">
        <v>18</v>
      </c>
      <c r="E51" s="73"/>
      <c r="F51" s="73"/>
      <c r="G51" s="73">
        <v>600</v>
      </c>
      <c r="H51" s="64">
        <v>2</v>
      </c>
      <c r="I51" s="64">
        <v>9</v>
      </c>
      <c r="J51" s="64">
        <f>I51*60</f>
        <v>540</v>
      </c>
      <c r="K51" s="61">
        <f>G51/I51</f>
        <v>66.666666666666671</v>
      </c>
      <c r="L51" s="61">
        <f>G51/J51</f>
        <v>1.1111111111111112</v>
      </c>
      <c r="M51" s="63">
        <f>G51/H51</f>
        <v>300</v>
      </c>
      <c r="N51" s="62">
        <v>115000</v>
      </c>
      <c r="O51" s="61">
        <f>N51/M51</f>
        <v>383.33333333333331</v>
      </c>
    </row>
    <row r="52" spans="1:15" x14ac:dyDescent="0.25">
      <c r="A52" s="62" t="s">
        <v>79</v>
      </c>
      <c r="B52" s="73"/>
      <c r="C52" s="73"/>
      <c r="D52" s="73" t="s">
        <v>81</v>
      </c>
      <c r="E52" s="73"/>
      <c r="F52" s="73"/>
      <c r="G52" s="73">
        <v>130</v>
      </c>
      <c r="H52" s="64">
        <v>2</v>
      </c>
      <c r="I52" s="64">
        <v>9</v>
      </c>
      <c r="J52" s="64">
        <f>I52*60</f>
        <v>540</v>
      </c>
      <c r="K52" s="61">
        <f>G52/I52</f>
        <v>14.444444444444445</v>
      </c>
      <c r="L52" s="61">
        <f>G52/J52</f>
        <v>0.24074074074074073</v>
      </c>
      <c r="M52" s="63">
        <f>G52/H52</f>
        <v>65</v>
      </c>
      <c r="N52" s="62">
        <v>115001</v>
      </c>
      <c r="O52" s="61">
        <f>N52/M52</f>
        <v>1769.2461538461539</v>
      </c>
    </row>
    <row r="53" spans="1:15" x14ac:dyDescent="0.25">
      <c r="A53" s="62" t="s">
        <v>79</v>
      </c>
      <c r="B53" s="73"/>
      <c r="C53" s="73"/>
      <c r="D53" s="73" t="s">
        <v>78</v>
      </c>
      <c r="E53" s="73"/>
      <c r="F53" s="73"/>
      <c r="G53" s="73">
        <v>130</v>
      </c>
      <c r="H53" s="64">
        <v>2</v>
      </c>
      <c r="I53" s="64">
        <v>9</v>
      </c>
      <c r="J53" s="64">
        <f>I53*60</f>
        <v>540</v>
      </c>
      <c r="K53" s="61">
        <f>G53/I53</f>
        <v>14.444444444444445</v>
      </c>
      <c r="L53" s="61">
        <f>G53/J53</f>
        <v>0.24074074074074073</v>
      </c>
      <c r="M53" s="63">
        <f>G53/H53</f>
        <v>65</v>
      </c>
      <c r="N53" s="62">
        <v>115002</v>
      </c>
      <c r="O53" s="61">
        <f>N53/M53</f>
        <v>1769.2615384615385</v>
      </c>
    </row>
    <row r="54" spans="1:15" x14ac:dyDescent="0.25">
      <c r="A54" s="62" t="s">
        <v>77</v>
      </c>
      <c r="B54" s="73"/>
      <c r="C54" s="73"/>
      <c r="D54" s="73">
        <v>5</v>
      </c>
      <c r="E54" s="73" t="s">
        <v>39</v>
      </c>
      <c r="F54" s="73"/>
      <c r="G54" s="73">
        <v>1500</v>
      </c>
      <c r="H54" s="64">
        <v>2</v>
      </c>
      <c r="I54" s="64">
        <v>9</v>
      </c>
      <c r="J54" s="64">
        <f>I54*60</f>
        <v>540</v>
      </c>
      <c r="K54" s="61">
        <f>G54/I54</f>
        <v>166.66666666666666</v>
      </c>
      <c r="L54" s="61">
        <f>G54/J54</f>
        <v>2.7777777777777777</v>
      </c>
      <c r="M54" s="63">
        <f>G54/H54</f>
        <v>750</v>
      </c>
      <c r="N54" s="62">
        <v>115003</v>
      </c>
      <c r="O54" s="61">
        <f>N54/M54</f>
        <v>153.33733333333333</v>
      </c>
    </row>
    <row r="55" spans="1:15" x14ac:dyDescent="0.25">
      <c r="A55" s="62" t="s">
        <v>75</v>
      </c>
      <c r="B55" s="73"/>
      <c r="C55" s="73"/>
      <c r="D55" s="73">
        <v>3</v>
      </c>
      <c r="E55" s="73" t="s">
        <v>39</v>
      </c>
      <c r="F55" s="73"/>
      <c r="G55" s="73">
        <v>850</v>
      </c>
      <c r="H55" s="64">
        <v>1</v>
      </c>
      <c r="I55" s="64">
        <v>9</v>
      </c>
      <c r="J55" s="64">
        <f>I55*60</f>
        <v>540</v>
      </c>
      <c r="K55" s="61">
        <f>G55/I55</f>
        <v>94.444444444444443</v>
      </c>
      <c r="L55" s="61">
        <f>G55/J55</f>
        <v>1.5740740740740742</v>
      </c>
      <c r="M55" s="63">
        <f>G55/H55</f>
        <v>850</v>
      </c>
      <c r="N55" s="62">
        <v>115004</v>
      </c>
      <c r="O55" s="61">
        <f>N55/M55</f>
        <v>135.29882352941178</v>
      </c>
    </row>
    <row r="56" spans="1:15" x14ac:dyDescent="0.25">
      <c r="A56" s="62" t="s">
        <v>75</v>
      </c>
      <c r="B56" s="73"/>
      <c r="C56" s="73"/>
      <c r="D56" s="73">
        <v>4</v>
      </c>
      <c r="E56" s="73" t="s">
        <v>39</v>
      </c>
      <c r="F56" s="73"/>
      <c r="G56" s="73">
        <v>850</v>
      </c>
      <c r="H56" s="64">
        <v>1</v>
      </c>
      <c r="I56" s="64">
        <v>9</v>
      </c>
      <c r="J56" s="64">
        <f>I56*60</f>
        <v>540</v>
      </c>
      <c r="K56" s="61">
        <f>G56/I56</f>
        <v>94.444444444444443</v>
      </c>
      <c r="L56" s="61">
        <f>G56/J56</f>
        <v>1.5740740740740742</v>
      </c>
      <c r="M56" s="63">
        <f>G56/H56</f>
        <v>850</v>
      </c>
      <c r="N56" s="62">
        <v>115005</v>
      </c>
      <c r="O56" s="61">
        <f>N56/M56</f>
        <v>135.30000000000001</v>
      </c>
    </row>
    <row r="57" spans="1:15" x14ac:dyDescent="0.25">
      <c r="A57" s="62" t="s">
        <v>75</v>
      </c>
      <c r="B57" s="73"/>
      <c r="C57" s="73"/>
      <c r="D57" s="73">
        <v>5</v>
      </c>
      <c r="E57" s="73" t="s">
        <v>39</v>
      </c>
      <c r="F57" s="73"/>
      <c r="G57" s="73">
        <v>1000</v>
      </c>
      <c r="H57" s="64">
        <v>1</v>
      </c>
      <c r="I57" s="64">
        <v>9</v>
      </c>
      <c r="J57" s="64">
        <f>I57*60</f>
        <v>540</v>
      </c>
      <c r="K57" s="61">
        <f>G57/I57</f>
        <v>111.11111111111111</v>
      </c>
      <c r="L57" s="61">
        <f>G57/J57</f>
        <v>1.8518518518518519</v>
      </c>
      <c r="M57" s="63">
        <f>G57/H57</f>
        <v>1000</v>
      </c>
      <c r="N57" s="62">
        <v>115006</v>
      </c>
      <c r="O57" s="61">
        <f>N57/M57</f>
        <v>115.006</v>
      </c>
    </row>
    <row r="58" spans="1:15" x14ac:dyDescent="0.25">
      <c r="A58" s="62" t="s">
        <v>75</v>
      </c>
      <c r="B58" s="73"/>
      <c r="C58" s="73"/>
      <c r="D58" s="73">
        <v>6</v>
      </c>
      <c r="E58" s="73" t="s">
        <v>39</v>
      </c>
      <c r="F58" s="73"/>
      <c r="G58" s="73"/>
      <c r="H58" s="64">
        <v>1</v>
      </c>
      <c r="I58" s="64">
        <v>9</v>
      </c>
      <c r="J58" s="64">
        <f>I58*60</f>
        <v>540</v>
      </c>
      <c r="K58" s="61">
        <f>G58/I58</f>
        <v>0</v>
      </c>
      <c r="L58" s="61">
        <f>G58/J58</f>
        <v>0</v>
      </c>
      <c r="M58" s="63">
        <f>G58/H58</f>
        <v>0</v>
      </c>
      <c r="N58" s="62">
        <v>115007</v>
      </c>
      <c r="O58" s="61" t="e">
        <f>N58/M58</f>
        <v>#DIV/0!</v>
      </c>
    </row>
    <row r="59" spans="1:15" x14ac:dyDescent="0.25">
      <c r="A59" s="62" t="s">
        <v>75</v>
      </c>
      <c r="B59" s="73"/>
      <c r="C59" s="73"/>
      <c r="D59" s="73">
        <v>8</v>
      </c>
      <c r="E59" s="73" t="s">
        <v>39</v>
      </c>
      <c r="F59" s="73"/>
      <c r="G59" s="73">
        <v>600</v>
      </c>
      <c r="H59" s="64">
        <v>1</v>
      </c>
      <c r="I59" s="64">
        <v>9</v>
      </c>
      <c r="J59" s="64">
        <f>I59*60</f>
        <v>540</v>
      </c>
      <c r="K59" s="61">
        <f>G59/I59</f>
        <v>66.666666666666671</v>
      </c>
      <c r="L59" s="61">
        <f>G59/J59</f>
        <v>1.1111111111111112</v>
      </c>
      <c r="M59" s="63">
        <f>G59/H59</f>
        <v>600</v>
      </c>
      <c r="N59" s="62">
        <v>115008</v>
      </c>
      <c r="O59" s="61">
        <f>N59/M59</f>
        <v>191.68</v>
      </c>
    </row>
    <row r="60" spans="1:15" x14ac:dyDescent="0.25">
      <c r="A60" s="62" t="s">
        <v>75</v>
      </c>
      <c r="B60" s="73"/>
      <c r="C60" s="73"/>
      <c r="D60" s="73">
        <v>9</v>
      </c>
      <c r="E60" s="73" t="s">
        <v>39</v>
      </c>
      <c r="F60" s="73"/>
      <c r="G60" s="73">
        <v>600</v>
      </c>
      <c r="H60" s="64">
        <v>1</v>
      </c>
      <c r="I60" s="64">
        <v>9</v>
      </c>
      <c r="J60" s="64">
        <f>I60*60</f>
        <v>540</v>
      </c>
      <c r="K60" s="61">
        <f>G60/I60</f>
        <v>66.666666666666671</v>
      </c>
      <c r="L60" s="61">
        <f>G60/J60</f>
        <v>1.1111111111111112</v>
      </c>
      <c r="M60" s="63">
        <f>G60/H60</f>
        <v>600</v>
      </c>
      <c r="N60" s="62">
        <v>115009</v>
      </c>
      <c r="O60" s="61">
        <f>N60/M60</f>
        <v>191.68166666666667</v>
      </c>
    </row>
    <row r="61" spans="1:15" x14ac:dyDescent="0.25">
      <c r="A61" s="62" t="s">
        <v>75</v>
      </c>
      <c r="B61" s="73"/>
      <c r="C61" s="73"/>
      <c r="D61" s="73">
        <v>12</v>
      </c>
      <c r="E61" s="73" t="s">
        <v>39</v>
      </c>
      <c r="F61" s="73"/>
      <c r="G61" s="73">
        <v>600</v>
      </c>
      <c r="H61" s="64">
        <v>1</v>
      </c>
      <c r="I61" s="64">
        <v>9</v>
      </c>
      <c r="J61" s="64">
        <f>I61*60</f>
        <v>540</v>
      </c>
      <c r="K61" s="61">
        <f>G61/I61</f>
        <v>66.666666666666671</v>
      </c>
      <c r="L61" s="61">
        <f>G61/J61</f>
        <v>1.1111111111111112</v>
      </c>
      <c r="M61" s="63">
        <f>G61/H61</f>
        <v>600</v>
      </c>
      <c r="N61" s="62">
        <v>115010</v>
      </c>
      <c r="O61" s="61">
        <f>N61/M61</f>
        <v>191.68333333333334</v>
      </c>
    </row>
    <row r="62" spans="1:15" x14ac:dyDescent="0.25">
      <c r="A62" s="62" t="s">
        <v>75</v>
      </c>
      <c r="B62" s="73"/>
      <c r="C62" s="73"/>
      <c r="D62" s="73">
        <v>15</v>
      </c>
      <c r="E62" s="73" t="s">
        <v>39</v>
      </c>
      <c r="F62" s="73"/>
      <c r="G62" s="73">
        <v>350</v>
      </c>
      <c r="H62" s="64">
        <v>1</v>
      </c>
      <c r="I62" s="64">
        <v>9</v>
      </c>
      <c r="J62" s="64">
        <f>I62*60</f>
        <v>540</v>
      </c>
      <c r="K62" s="61">
        <f>G62/I62</f>
        <v>38.888888888888886</v>
      </c>
      <c r="L62" s="61">
        <f>G62/J62</f>
        <v>0.64814814814814814</v>
      </c>
      <c r="M62" s="63">
        <f>G62/H62</f>
        <v>350</v>
      </c>
      <c r="N62" s="62">
        <v>115011</v>
      </c>
      <c r="O62" s="61">
        <f>N62/M62</f>
        <v>328.60285714285715</v>
      </c>
    </row>
    <row r="63" spans="1:15" x14ac:dyDescent="0.25">
      <c r="A63" s="62" t="s">
        <v>75</v>
      </c>
      <c r="B63" s="73"/>
      <c r="C63" s="73"/>
      <c r="D63" s="73">
        <v>18</v>
      </c>
      <c r="E63" s="73" t="s">
        <v>39</v>
      </c>
      <c r="F63" s="73"/>
      <c r="G63" s="73">
        <v>350</v>
      </c>
      <c r="H63" s="64">
        <v>1</v>
      </c>
      <c r="I63" s="64">
        <v>9</v>
      </c>
      <c r="J63" s="64">
        <f>I63*60</f>
        <v>540</v>
      </c>
      <c r="K63" s="61">
        <f>G63/I63</f>
        <v>38.888888888888886</v>
      </c>
      <c r="L63" s="61">
        <f>G63/J63</f>
        <v>0.64814814814814814</v>
      </c>
      <c r="M63" s="63">
        <f>G63/H63</f>
        <v>350</v>
      </c>
      <c r="N63" s="62">
        <v>115012</v>
      </c>
      <c r="O63" s="61">
        <f>N63/M63</f>
        <v>328.60571428571427</v>
      </c>
    </row>
    <row r="64" spans="1:15" x14ac:dyDescent="0.25">
      <c r="A64" s="62" t="s">
        <v>75</v>
      </c>
      <c r="B64" s="73"/>
      <c r="C64" s="73"/>
      <c r="D64" s="73">
        <v>5</v>
      </c>
      <c r="E64" s="73" t="s">
        <v>43</v>
      </c>
      <c r="F64" s="73"/>
      <c r="G64" s="73">
        <v>1500</v>
      </c>
      <c r="H64" s="64">
        <v>1</v>
      </c>
      <c r="I64" s="64">
        <v>9</v>
      </c>
      <c r="J64" s="64">
        <f>I64*60</f>
        <v>540</v>
      </c>
      <c r="K64" s="61">
        <f>G64/I64</f>
        <v>166.66666666666666</v>
      </c>
      <c r="L64" s="61">
        <f>G64/J64</f>
        <v>2.7777777777777777</v>
      </c>
      <c r="M64" s="63">
        <f>G64/H64</f>
        <v>1500</v>
      </c>
      <c r="N64" s="62">
        <v>115013</v>
      </c>
      <c r="O64" s="61">
        <f>N64/M64</f>
        <v>76.675333333333327</v>
      </c>
    </row>
    <row r="65" spans="1:15" x14ac:dyDescent="0.25">
      <c r="A65" s="62" t="s">
        <v>75</v>
      </c>
      <c r="B65" s="73"/>
      <c r="C65" s="73"/>
      <c r="D65" s="73">
        <v>3</v>
      </c>
      <c r="E65" s="73" t="s">
        <v>43</v>
      </c>
      <c r="F65" s="73"/>
      <c r="G65" s="73">
        <v>850</v>
      </c>
      <c r="H65" s="64">
        <v>1</v>
      </c>
      <c r="I65" s="64">
        <v>9</v>
      </c>
      <c r="J65" s="64">
        <f>I65*60</f>
        <v>540</v>
      </c>
      <c r="K65" s="61">
        <f>G65/I65</f>
        <v>94.444444444444443</v>
      </c>
      <c r="L65" s="61">
        <f>G65/J65</f>
        <v>1.5740740740740742</v>
      </c>
      <c r="M65" s="63">
        <f>G65/H65</f>
        <v>850</v>
      </c>
      <c r="N65" s="62">
        <v>115014</v>
      </c>
      <c r="O65" s="61">
        <f>N65/M65</f>
        <v>135.31058823529412</v>
      </c>
    </row>
    <row r="66" spans="1:15" x14ac:dyDescent="0.25">
      <c r="A66" s="62" t="s">
        <v>75</v>
      </c>
      <c r="B66" s="73"/>
      <c r="C66" s="73"/>
      <c r="D66" s="73">
        <v>4</v>
      </c>
      <c r="E66" s="73" t="s">
        <v>43</v>
      </c>
      <c r="F66" s="73"/>
      <c r="G66" s="73">
        <v>850</v>
      </c>
      <c r="H66" s="64">
        <v>1</v>
      </c>
      <c r="I66" s="64">
        <v>9</v>
      </c>
      <c r="J66" s="64">
        <f>I66*60</f>
        <v>540</v>
      </c>
      <c r="K66" s="61">
        <f>G66/I66</f>
        <v>94.444444444444443</v>
      </c>
      <c r="L66" s="61">
        <f>G66/J66</f>
        <v>1.5740740740740742</v>
      </c>
      <c r="M66" s="63">
        <f>G66/H66</f>
        <v>850</v>
      </c>
      <c r="N66" s="62">
        <v>115015</v>
      </c>
      <c r="O66" s="61">
        <f>N66/M66</f>
        <v>135.31176470588235</v>
      </c>
    </row>
    <row r="67" spans="1:15" x14ac:dyDescent="0.25">
      <c r="A67" s="62" t="s">
        <v>75</v>
      </c>
      <c r="B67" s="73"/>
      <c r="C67" s="73"/>
      <c r="D67" s="73">
        <v>5</v>
      </c>
      <c r="E67" s="73" t="s">
        <v>43</v>
      </c>
      <c r="F67" s="73"/>
      <c r="G67" s="73">
        <v>850</v>
      </c>
      <c r="H67" s="64">
        <v>1</v>
      </c>
      <c r="I67" s="64">
        <v>9</v>
      </c>
      <c r="J67" s="64">
        <f>I67*60</f>
        <v>540</v>
      </c>
      <c r="K67" s="61">
        <f>G67/I67</f>
        <v>94.444444444444443</v>
      </c>
      <c r="L67" s="61">
        <f>G67/J67</f>
        <v>1.5740740740740742</v>
      </c>
      <c r="M67" s="63">
        <f>G67/H67</f>
        <v>850</v>
      </c>
      <c r="N67" s="62">
        <v>115016</v>
      </c>
      <c r="O67" s="61">
        <f>N67/M67</f>
        <v>135.31294117647059</v>
      </c>
    </row>
    <row r="68" spans="1:15" x14ac:dyDescent="0.25">
      <c r="A68" s="62" t="s">
        <v>75</v>
      </c>
      <c r="B68" s="73"/>
      <c r="C68" s="73"/>
      <c r="D68" s="73">
        <v>6</v>
      </c>
      <c r="E68" s="73" t="s">
        <v>43</v>
      </c>
      <c r="F68" s="73"/>
      <c r="G68" s="73"/>
      <c r="H68" s="64">
        <v>1</v>
      </c>
      <c r="I68" s="64">
        <v>9</v>
      </c>
      <c r="J68" s="64">
        <f>I68*60</f>
        <v>540</v>
      </c>
      <c r="K68" s="61">
        <f>G68/I68</f>
        <v>0</v>
      </c>
      <c r="L68" s="61">
        <f>G68/J68</f>
        <v>0</v>
      </c>
      <c r="M68" s="63">
        <f>G68/H68</f>
        <v>0</v>
      </c>
      <c r="N68" s="62">
        <v>115017</v>
      </c>
      <c r="O68" s="61" t="e">
        <f>N68/M68</f>
        <v>#DIV/0!</v>
      </c>
    </row>
    <row r="69" spans="1:15" x14ac:dyDescent="0.25">
      <c r="A69" s="62" t="s">
        <v>75</v>
      </c>
      <c r="B69" s="73"/>
      <c r="C69" s="73"/>
      <c r="D69" s="73">
        <v>8</v>
      </c>
      <c r="E69" s="73" t="s">
        <v>43</v>
      </c>
      <c r="F69" s="73"/>
      <c r="G69" s="73">
        <v>600</v>
      </c>
      <c r="H69" s="64">
        <v>1</v>
      </c>
      <c r="I69" s="64">
        <v>9</v>
      </c>
      <c r="J69" s="64">
        <f>I69*60</f>
        <v>540</v>
      </c>
      <c r="K69" s="61">
        <f>G69/I69</f>
        <v>66.666666666666671</v>
      </c>
      <c r="L69" s="61">
        <f>G69/J69</f>
        <v>1.1111111111111112</v>
      </c>
      <c r="M69" s="63">
        <f>G69/H69</f>
        <v>600</v>
      </c>
      <c r="N69" s="62">
        <v>115018</v>
      </c>
      <c r="O69" s="61">
        <f>N69/M69</f>
        <v>191.69666666666666</v>
      </c>
    </row>
    <row r="70" spans="1:15" x14ac:dyDescent="0.25">
      <c r="A70" s="62" t="s">
        <v>75</v>
      </c>
      <c r="B70" s="73"/>
      <c r="C70" s="73"/>
      <c r="D70" s="73">
        <v>9</v>
      </c>
      <c r="E70" s="73" t="s">
        <v>43</v>
      </c>
      <c r="F70" s="73"/>
      <c r="G70" s="73">
        <v>400</v>
      </c>
      <c r="H70" s="64">
        <v>1</v>
      </c>
      <c r="I70" s="64">
        <v>9</v>
      </c>
      <c r="J70" s="64">
        <f>I70*60</f>
        <v>540</v>
      </c>
      <c r="K70" s="61">
        <f>G70/I70</f>
        <v>44.444444444444443</v>
      </c>
      <c r="L70" s="61">
        <f>G70/J70</f>
        <v>0.7407407407407407</v>
      </c>
      <c r="M70" s="63">
        <f>G70/H70</f>
        <v>400</v>
      </c>
      <c r="N70" s="62">
        <v>115019</v>
      </c>
      <c r="O70" s="61">
        <f>N70/M70</f>
        <v>287.54750000000001</v>
      </c>
    </row>
    <row r="71" spans="1:15" x14ac:dyDescent="0.25">
      <c r="A71" s="62" t="s">
        <v>75</v>
      </c>
      <c r="B71" s="73"/>
      <c r="C71" s="73"/>
      <c r="D71" s="73">
        <v>12</v>
      </c>
      <c r="E71" s="73" t="s">
        <v>43</v>
      </c>
      <c r="F71" s="73"/>
      <c r="G71" s="73">
        <v>500</v>
      </c>
      <c r="H71" s="64">
        <v>1</v>
      </c>
      <c r="I71" s="64">
        <v>9</v>
      </c>
      <c r="J71" s="64">
        <f>I71*60</f>
        <v>540</v>
      </c>
      <c r="K71" s="61">
        <f>G71/I71</f>
        <v>55.555555555555557</v>
      </c>
      <c r="L71" s="61">
        <f>G71/J71</f>
        <v>0.92592592592592593</v>
      </c>
      <c r="M71" s="63">
        <f>G71/H71</f>
        <v>500</v>
      </c>
      <c r="N71" s="62">
        <v>115020</v>
      </c>
      <c r="O71" s="61">
        <f>N71/M71</f>
        <v>230.04</v>
      </c>
    </row>
    <row r="72" spans="1:15" x14ac:dyDescent="0.25">
      <c r="A72" s="62" t="s">
        <v>75</v>
      </c>
      <c r="B72" s="73"/>
      <c r="C72" s="73"/>
      <c r="D72" s="73">
        <v>15</v>
      </c>
      <c r="E72" s="73" t="s">
        <v>43</v>
      </c>
      <c r="F72" s="73"/>
      <c r="G72" s="73">
        <v>330</v>
      </c>
      <c r="H72" s="64">
        <v>1</v>
      </c>
      <c r="I72" s="64">
        <v>9</v>
      </c>
      <c r="J72" s="64">
        <f>I72*60</f>
        <v>540</v>
      </c>
      <c r="K72" s="61">
        <f>G72/I72</f>
        <v>36.666666666666664</v>
      </c>
      <c r="L72" s="61">
        <f>G72/J72</f>
        <v>0.61111111111111116</v>
      </c>
      <c r="M72" s="63">
        <f>G72/H72</f>
        <v>330</v>
      </c>
      <c r="N72" s="62">
        <v>115021</v>
      </c>
      <c r="O72" s="61">
        <f>N72/M72</f>
        <v>348.54848484848486</v>
      </c>
    </row>
    <row r="73" spans="1:15" x14ac:dyDescent="0.25">
      <c r="A73" s="62" t="s">
        <v>75</v>
      </c>
      <c r="B73" s="73"/>
      <c r="C73" s="73"/>
      <c r="D73" s="73">
        <v>18</v>
      </c>
      <c r="E73" s="73" t="s">
        <v>43</v>
      </c>
      <c r="F73" s="73"/>
      <c r="G73" s="73">
        <v>330</v>
      </c>
      <c r="H73" s="64">
        <v>1</v>
      </c>
      <c r="I73" s="64">
        <v>9</v>
      </c>
      <c r="J73" s="64">
        <f>I73*60</f>
        <v>540</v>
      </c>
      <c r="K73" s="61">
        <f>G73/I73</f>
        <v>36.666666666666664</v>
      </c>
      <c r="L73" s="61">
        <f>G73/J73</f>
        <v>0.61111111111111116</v>
      </c>
      <c r="M73" s="63">
        <f>G73/H73</f>
        <v>330</v>
      </c>
      <c r="N73" s="62">
        <v>115022</v>
      </c>
      <c r="O73" s="61">
        <f>N73/M73</f>
        <v>348.55151515151516</v>
      </c>
    </row>
    <row r="74" spans="1:15" x14ac:dyDescent="0.25">
      <c r="A74" s="62" t="s">
        <v>75</v>
      </c>
      <c r="B74" s="73"/>
      <c r="C74" s="73"/>
      <c r="D74" s="73">
        <v>19</v>
      </c>
      <c r="E74" s="73" t="s">
        <v>76</v>
      </c>
      <c r="F74" s="73"/>
      <c r="G74" s="73">
        <v>100</v>
      </c>
      <c r="H74" s="64">
        <v>1</v>
      </c>
      <c r="I74" s="64">
        <v>9</v>
      </c>
      <c r="J74" s="64">
        <f>I74*60</f>
        <v>540</v>
      </c>
      <c r="K74" s="61">
        <f>G74/I74</f>
        <v>11.111111111111111</v>
      </c>
      <c r="L74" s="61">
        <f>G74/J74</f>
        <v>0.18518518518518517</v>
      </c>
      <c r="M74" s="63">
        <f>G74/H74</f>
        <v>100</v>
      </c>
      <c r="N74" s="62">
        <v>115023</v>
      </c>
      <c r="O74" s="61">
        <f>N74/M74</f>
        <v>1150.23</v>
      </c>
    </row>
    <row r="75" spans="1:15" x14ac:dyDescent="0.25">
      <c r="A75" s="62" t="s">
        <v>75</v>
      </c>
      <c r="B75" s="73"/>
      <c r="C75" s="73"/>
      <c r="D75" s="73">
        <v>18</v>
      </c>
      <c r="E75" s="73" t="s">
        <v>76</v>
      </c>
      <c r="F75" s="73"/>
      <c r="G75" s="73">
        <v>100</v>
      </c>
      <c r="H75" s="64">
        <v>1</v>
      </c>
      <c r="I75" s="64">
        <v>9</v>
      </c>
      <c r="J75" s="64">
        <f>I75*60</f>
        <v>540</v>
      </c>
      <c r="K75" s="61">
        <f>G75/I75</f>
        <v>11.111111111111111</v>
      </c>
      <c r="L75" s="61">
        <f>G75/J75</f>
        <v>0.18518518518518517</v>
      </c>
      <c r="M75" s="63">
        <f>G75/H75</f>
        <v>100</v>
      </c>
      <c r="N75" s="62">
        <v>115024</v>
      </c>
      <c r="O75" s="61">
        <f>N75/M75</f>
        <v>1150.24</v>
      </c>
    </row>
    <row r="76" spans="1:15" x14ac:dyDescent="0.25">
      <c r="A76" s="62" t="s">
        <v>75</v>
      </c>
      <c r="B76" s="73"/>
      <c r="C76" s="73"/>
      <c r="D76" s="73">
        <v>8</v>
      </c>
      <c r="E76" s="73" t="s">
        <v>65</v>
      </c>
      <c r="F76" s="73"/>
      <c r="G76" s="73">
        <v>400</v>
      </c>
      <c r="H76" s="64">
        <v>1</v>
      </c>
      <c r="I76" s="64">
        <v>9</v>
      </c>
      <c r="J76" s="64">
        <f>I76*60</f>
        <v>540</v>
      </c>
      <c r="K76" s="61">
        <f>G76/I76</f>
        <v>44.444444444444443</v>
      </c>
      <c r="L76" s="61">
        <f>G76/J76</f>
        <v>0.7407407407407407</v>
      </c>
      <c r="M76" s="63">
        <f>G76/H76</f>
        <v>400</v>
      </c>
      <c r="N76" s="62">
        <v>115025</v>
      </c>
      <c r="O76" s="61">
        <f>N76/M76</f>
        <v>287.5625</v>
      </c>
    </row>
    <row r="77" spans="1:15" x14ac:dyDescent="0.25">
      <c r="A77" s="62" t="s">
        <v>75</v>
      </c>
      <c r="B77" s="73"/>
      <c r="C77" s="73"/>
      <c r="D77" s="73">
        <v>9</v>
      </c>
      <c r="E77" s="73" t="s">
        <v>65</v>
      </c>
      <c r="F77" s="73"/>
      <c r="G77" s="73">
        <v>400</v>
      </c>
      <c r="H77" s="64">
        <v>1</v>
      </c>
      <c r="I77" s="64">
        <v>9</v>
      </c>
      <c r="J77" s="64">
        <f>I77*60</f>
        <v>540</v>
      </c>
      <c r="K77" s="61">
        <f>G77/I77</f>
        <v>44.444444444444443</v>
      </c>
      <c r="L77" s="61">
        <f>G77/J77</f>
        <v>0.7407407407407407</v>
      </c>
      <c r="M77" s="63">
        <f>G77/H77</f>
        <v>400</v>
      </c>
      <c r="N77" s="62">
        <v>115026</v>
      </c>
      <c r="O77" s="61">
        <f>N77/M77</f>
        <v>287.565</v>
      </c>
    </row>
    <row r="78" spans="1:15" x14ac:dyDescent="0.25">
      <c r="A78" s="62" t="s">
        <v>75</v>
      </c>
      <c r="B78" s="73"/>
      <c r="C78" s="73"/>
      <c r="D78" s="73">
        <v>12</v>
      </c>
      <c r="E78" s="73" t="s">
        <v>65</v>
      </c>
      <c r="F78" s="73"/>
      <c r="G78" s="73">
        <v>400</v>
      </c>
      <c r="H78" s="64">
        <v>1</v>
      </c>
      <c r="I78" s="64">
        <v>9</v>
      </c>
      <c r="J78" s="64">
        <f>I78*60</f>
        <v>540</v>
      </c>
      <c r="K78" s="61">
        <f>G78/I78</f>
        <v>44.444444444444443</v>
      </c>
      <c r="L78" s="61">
        <f>G78/J78</f>
        <v>0.7407407407407407</v>
      </c>
      <c r="M78" s="63">
        <f>G78/H78</f>
        <v>400</v>
      </c>
      <c r="N78" s="62">
        <v>115027</v>
      </c>
      <c r="O78" s="61">
        <f>N78/M78</f>
        <v>287.5675</v>
      </c>
    </row>
    <row r="79" spans="1:15" x14ac:dyDescent="0.25">
      <c r="A79" s="62" t="s">
        <v>75</v>
      </c>
      <c r="B79" s="73"/>
      <c r="C79" s="73"/>
      <c r="D79" s="73">
        <v>15</v>
      </c>
      <c r="E79" s="73" t="s">
        <v>65</v>
      </c>
      <c r="F79" s="73"/>
      <c r="G79" s="73">
        <v>300</v>
      </c>
      <c r="H79" s="64">
        <v>1</v>
      </c>
      <c r="I79" s="64">
        <v>9</v>
      </c>
      <c r="J79" s="64">
        <f>I79*60</f>
        <v>540</v>
      </c>
      <c r="K79" s="61">
        <f>G79/I79</f>
        <v>33.333333333333336</v>
      </c>
      <c r="L79" s="61">
        <f>G79/J79</f>
        <v>0.55555555555555558</v>
      </c>
      <c r="M79" s="63">
        <f>G79/H79</f>
        <v>300</v>
      </c>
      <c r="N79" s="62">
        <v>115028</v>
      </c>
      <c r="O79" s="61">
        <f>N79/M79</f>
        <v>383.42666666666668</v>
      </c>
    </row>
    <row r="80" spans="1:15" x14ac:dyDescent="0.25">
      <c r="A80" s="62" t="s">
        <v>75</v>
      </c>
      <c r="B80" s="73"/>
      <c r="C80" s="73"/>
      <c r="D80" s="73">
        <v>18</v>
      </c>
      <c r="E80" s="73" t="s">
        <v>65</v>
      </c>
      <c r="F80" s="73"/>
      <c r="G80" s="73">
        <v>300</v>
      </c>
      <c r="H80" s="64">
        <v>1</v>
      </c>
      <c r="I80" s="64">
        <v>9</v>
      </c>
      <c r="J80" s="64">
        <f>I80*60</f>
        <v>540</v>
      </c>
      <c r="K80" s="61">
        <f>G80/I80</f>
        <v>33.333333333333336</v>
      </c>
      <c r="L80" s="61">
        <f>G80/J80</f>
        <v>0.55555555555555558</v>
      </c>
      <c r="M80" s="63">
        <f>G80/H80</f>
        <v>300</v>
      </c>
      <c r="N80" s="62">
        <v>115029</v>
      </c>
      <c r="O80" s="61">
        <f>N80/M80</f>
        <v>383.43</v>
      </c>
    </row>
    <row r="81" spans="1:15" x14ac:dyDescent="0.25">
      <c r="A81" s="62" t="s">
        <v>75</v>
      </c>
      <c r="B81" s="73"/>
      <c r="C81" s="73"/>
      <c r="D81" s="73">
        <v>12</v>
      </c>
      <c r="E81" s="73" t="s">
        <v>74</v>
      </c>
      <c r="F81" s="73"/>
      <c r="G81" s="73">
        <v>150</v>
      </c>
      <c r="H81" s="64">
        <v>1</v>
      </c>
      <c r="I81" s="64">
        <v>9</v>
      </c>
      <c r="J81" s="64">
        <f>I81*60</f>
        <v>540</v>
      </c>
      <c r="K81" s="61">
        <f>G81/I81</f>
        <v>16.666666666666668</v>
      </c>
      <c r="L81" s="61">
        <f>G81/J81</f>
        <v>0.27777777777777779</v>
      </c>
      <c r="M81" s="63">
        <f>G81/H81</f>
        <v>150</v>
      </c>
      <c r="N81" s="62">
        <v>115030</v>
      </c>
      <c r="O81" s="61">
        <f>N81/M81</f>
        <v>766.86666666666667</v>
      </c>
    </row>
    <row r="82" spans="1:15" x14ac:dyDescent="0.25">
      <c r="A82" s="62" t="s">
        <v>73</v>
      </c>
      <c r="B82" s="73"/>
      <c r="C82" s="73"/>
      <c r="D82" s="73"/>
      <c r="E82" s="73"/>
      <c r="F82" s="73"/>
      <c r="G82" s="73">
        <v>18</v>
      </c>
      <c r="H82" s="64">
        <v>1</v>
      </c>
      <c r="I82" s="64">
        <v>9</v>
      </c>
      <c r="J82" s="64">
        <f>I82*60</f>
        <v>540</v>
      </c>
      <c r="K82" s="61">
        <f>G82/I82</f>
        <v>2</v>
      </c>
      <c r="L82" s="61">
        <f>G82/J82</f>
        <v>3.3333333333333333E-2</v>
      </c>
      <c r="M82" s="63">
        <f>G82/H82</f>
        <v>18</v>
      </c>
      <c r="N82" s="62">
        <v>115031</v>
      </c>
      <c r="O82" s="61">
        <f>N82/M82</f>
        <v>6390.6111111111113</v>
      </c>
    </row>
    <row r="83" spans="1:15" x14ac:dyDescent="0.25">
      <c r="A83" s="73" t="s">
        <v>46</v>
      </c>
      <c r="B83" s="73"/>
      <c r="C83" s="73"/>
      <c r="D83" s="73">
        <v>3</v>
      </c>
      <c r="E83" s="73" t="s">
        <v>39</v>
      </c>
      <c r="F83" s="73" t="s">
        <v>72</v>
      </c>
      <c r="G83" s="73">
        <v>3700</v>
      </c>
      <c r="H83" s="73">
        <v>32</v>
      </c>
      <c r="I83" s="64">
        <v>10</v>
      </c>
      <c r="J83" s="64">
        <f>I83*60</f>
        <v>600</v>
      </c>
      <c r="K83" s="61">
        <f>G83/I83</f>
        <v>370</v>
      </c>
      <c r="L83" s="61">
        <f>G83/J83</f>
        <v>6.166666666666667</v>
      </c>
      <c r="M83" s="63">
        <f>G83/H83</f>
        <v>115.625</v>
      </c>
      <c r="N83" s="62">
        <v>115000</v>
      </c>
      <c r="O83" s="61">
        <f>N83/I85</f>
        <v>11500</v>
      </c>
    </row>
    <row r="84" spans="1:15" x14ac:dyDescent="0.25">
      <c r="A84" s="73" t="s">
        <v>46</v>
      </c>
      <c r="B84" s="73"/>
      <c r="C84" s="73"/>
      <c r="D84" s="73">
        <v>5</v>
      </c>
      <c r="E84" s="73" t="s">
        <v>39</v>
      </c>
      <c r="F84" s="73" t="s">
        <v>65</v>
      </c>
      <c r="G84" s="73">
        <v>3600</v>
      </c>
      <c r="H84" s="73">
        <v>32</v>
      </c>
      <c r="I84" s="64">
        <v>10</v>
      </c>
      <c r="J84" s="64">
        <f>I84*60</f>
        <v>600</v>
      </c>
      <c r="K84" s="61">
        <f>G84/I84</f>
        <v>360</v>
      </c>
      <c r="L84" s="61">
        <f>G84/J84</f>
        <v>6</v>
      </c>
      <c r="M84" s="63">
        <f>G84/H84</f>
        <v>112.5</v>
      </c>
      <c r="N84" s="62">
        <v>115000</v>
      </c>
      <c r="O84" s="61">
        <f>N84/I85</f>
        <v>11500</v>
      </c>
    </row>
    <row r="85" spans="1:15" x14ac:dyDescent="0.25">
      <c r="A85" s="73" t="s">
        <v>46</v>
      </c>
      <c r="B85" s="73"/>
      <c r="C85" s="73"/>
      <c r="D85" s="73">
        <v>6</v>
      </c>
      <c r="E85" s="73" t="s">
        <v>39</v>
      </c>
      <c r="F85" s="73" t="s">
        <v>47</v>
      </c>
      <c r="G85" s="73">
        <v>1500</v>
      </c>
      <c r="H85" s="73">
        <v>32</v>
      </c>
      <c r="I85" s="64">
        <v>10</v>
      </c>
      <c r="J85" s="64">
        <f>I85*60</f>
        <v>600</v>
      </c>
      <c r="K85" s="61">
        <f>G85/I85</f>
        <v>150</v>
      </c>
      <c r="L85" s="61">
        <f>G85/J85</f>
        <v>2.5</v>
      </c>
      <c r="M85" s="63">
        <f>G85/H85</f>
        <v>46.875</v>
      </c>
      <c r="N85" s="62">
        <v>115000</v>
      </c>
      <c r="O85" s="61">
        <f>N85/I86</f>
        <v>11500</v>
      </c>
    </row>
    <row r="86" spans="1:15" x14ac:dyDescent="0.25">
      <c r="A86" s="73" t="s">
        <v>46</v>
      </c>
      <c r="B86" s="73"/>
      <c r="C86" s="73"/>
      <c r="D86" s="73">
        <v>8</v>
      </c>
      <c r="E86" s="73" t="s">
        <v>39</v>
      </c>
      <c r="F86" s="73" t="s">
        <v>47</v>
      </c>
      <c r="G86" s="73">
        <v>1300</v>
      </c>
      <c r="H86" s="73">
        <v>32</v>
      </c>
      <c r="I86" s="64">
        <v>10</v>
      </c>
      <c r="J86" s="64">
        <f>I86*60</f>
        <v>600</v>
      </c>
      <c r="K86" s="61">
        <f>G86/I86</f>
        <v>130</v>
      </c>
      <c r="L86" s="61">
        <f>G86/J86</f>
        <v>2.1666666666666665</v>
      </c>
      <c r="M86" s="63">
        <f>G86/H86</f>
        <v>40.625</v>
      </c>
      <c r="N86" s="62">
        <v>115033</v>
      </c>
      <c r="O86" s="61">
        <f>N86/M86</f>
        <v>2831.5815384615385</v>
      </c>
    </row>
    <row r="87" spans="1:15" x14ac:dyDescent="0.25">
      <c r="A87" s="73" t="s">
        <v>46</v>
      </c>
      <c r="B87" s="73"/>
      <c r="C87" s="73"/>
      <c r="D87" s="73">
        <v>9</v>
      </c>
      <c r="E87" s="73" t="s">
        <v>39</v>
      </c>
      <c r="F87" s="73" t="s">
        <v>47</v>
      </c>
      <c r="G87" s="73">
        <v>1200</v>
      </c>
      <c r="H87" s="73">
        <v>32</v>
      </c>
      <c r="I87" s="64">
        <v>10</v>
      </c>
      <c r="J87" s="64">
        <f>I87*60</f>
        <v>600</v>
      </c>
      <c r="K87" s="61">
        <f>G87/I87</f>
        <v>120</v>
      </c>
      <c r="L87" s="61">
        <f>G87/J87</f>
        <v>2</v>
      </c>
      <c r="M87" s="63">
        <f>G87/H87</f>
        <v>37.5</v>
      </c>
      <c r="N87" s="62">
        <v>115034</v>
      </c>
      <c r="O87" s="61">
        <f>N87/M87</f>
        <v>3067.5733333333333</v>
      </c>
    </row>
    <row r="88" spans="1:15" x14ac:dyDescent="0.25">
      <c r="A88" s="73" t="s">
        <v>46</v>
      </c>
      <c r="B88" s="73"/>
      <c r="C88" s="73"/>
      <c r="D88" s="73">
        <v>12</v>
      </c>
      <c r="E88" s="73" t="s">
        <v>39</v>
      </c>
      <c r="F88" s="73" t="s">
        <v>47</v>
      </c>
      <c r="G88" s="73">
        <v>1000</v>
      </c>
      <c r="H88" s="73">
        <v>32</v>
      </c>
      <c r="I88" s="64">
        <v>10</v>
      </c>
      <c r="J88" s="64">
        <f>I88*60</f>
        <v>600</v>
      </c>
      <c r="K88" s="61">
        <f>G88/I88</f>
        <v>100</v>
      </c>
      <c r="L88" s="61">
        <f>G88/J88</f>
        <v>1.6666666666666667</v>
      </c>
      <c r="M88" s="63">
        <f>G88/H88</f>
        <v>31.25</v>
      </c>
      <c r="N88" s="62">
        <v>115035</v>
      </c>
      <c r="O88" s="61">
        <f>N88/M88</f>
        <v>3681.12</v>
      </c>
    </row>
    <row r="89" spans="1:15" x14ac:dyDescent="0.25">
      <c r="A89" s="73" t="s">
        <v>46</v>
      </c>
      <c r="B89" s="73"/>
      <c r="C89" s="73"/>
      <c r="D89" s="73">
        <v>15</v>
      </c>
      <c r="E89" s="73" t="s">
        <v>39</v>
      </c>
      <c r="F89" s="73" t="s">
        <v>47</v>
      </c>
      <c r="G89" s="73">
        <v>750</v>
      </c>
      <c r="H89" s="73">
        <v>32</v>
      </c>
      <c r="I89" s="64">
        <v>10</v>
      </c>
      <c r="J89" s="64">
        <f>I89*60</f>
        <v>600</v>
      </c>
      <c r="K89" s="61">
        <f>G89/I89</f>
        <v>75</v>
      </c>
      <c r="L89" s="61">
        <f>G89/J89</f>
        <v>1.25</v>
      </c>
      <c r="M89" s="63">
        <f>G89/H89</f>
        <v>23.4375</v>
      </c>
      <c r="N89" s="62">
        <v>115036</v>
      </c>
      <c r="O89" s="61">
        <f>N89/M89</f>
        <v>4908.202666666667</v>
      </c>
    </row>
    <row r="90" spans="1:15" x14ac:dyDescent="0.25">
      <c r="A90" s="73" t="s">
        <v>46</v>
      </c>
      <c r="B90" s="73"/>
      <c r="C90" s="73"/>
      <c r="D90" s="73">
        <v>18</v>
      </c>
      <c r="E90" s="73" t="s">
        <v>39</v>
      </c>
      <c r="F90" s="73" t="s">
        <v>47</v>
      </c>
      <c r="G90" s="73">
        <v>700</v>
      </c>
      <c r="H90" s="73">
        <v>32</v>
      </c>
      <c r="I90" s="64">
        <v>10</v>
      </c>
      <c r="J90" s="64">
        <f>I90*60</f>
        <v>600</v>
      </c>
      <c r="K90" s="61">
        <f>G90/I90</f>
        <v>70</v>
      </c>
      <c r="L90" s="61">
        <f>G90/J90</f>
        <v>1.1666666666666667</v>
      </c>
      <c r="M90" s="63">
        <f>G90/H90</f>
        <v>21.875</v>
      </c>
      <c r="N90" s="62">
        <v>115037</v>
      </c>
      <c r="O90" s="61">
        <f>N90/M90</f>
        <v>5258.8342857142861</v>
      </c>
    </row>
    <row r="91" spans="1:15" x14ac:dyDescent="0.25">
      <c r="A91" s="73" t="s">
        <v>71</v>
      </c>
      <c r="B91" s="73"/>
      <c r="C91" s="73"/>
      <c r="D91" s="73"/>
      <c r="E91" s="73"/>
      <c r="F91" s="73" t="s">
        <v>68</v>
      </c>
      <c r="G91" s="73">
        <v>1700</v>
      </c>
      <c r="H91" s="73">
        <v>32</v>
      </c>
      <c r="I91" s="64">
        <v>10</v>
      </c>
      <c r="J91" s="64">
        <f>I91*60</f>
        <v>600</v>
      </c>
      <c r="K91" s="61">
        <f>G91/I91</f>
        <v>170</v>
      </c>
      <c r="L91" s="61">
        <f>G91/J91</f>
        <v>2.8333333333333335</v>
      </c>
      <c r="M91" s="63">
        <f>G91/H91</f>
        <v>53.125</v>
      </c>
      <c r="N91" s="62">
        <v>115038</v>
      </c>
      <c r="O91" s="61">
        <f>N91/M91</f>
        <v>2165.4211764705883</v>
      </c>
    </row>
    <row r="92" spans="1:15" x14ac:dyDescent="0.25">
      <c r="A92" s="73" t="s">
        <v>70</v>
      </c>
      <c r="B92" s="73"/>
      <c r="C92" s="73"/>
      <c r="D92" s="73">
        <v>12</v>
      </c>
      <c r="E92" s="73" t="s">
        <v>39</v>
      </c>
      <c r="F92" s="73" t="s">
        <v>69</v>
      </c>
      <c r="G92" s="73">
        <v>450</v>
      </c>
      <c r="H92" s="73">
        <v>32</v>
      </c>
      <c r="I92" s="64">
        <v>10</v>
      </c>
      <c r="J92" s="64">
        <f>I92*60</f>
        <v>600</v>
      </c>
      <c r="K92" s="61">
        <f>G92/I92</f>
        <v>45</v>
      </c>
      <c r="L92" s="61">
        <f>G92/J92</f>
        <v>0.75</v>
      </c>
      <c r="M92" s="63">
        <f>G92/H92</f>
        <v>14.0625</v>
      </c>
      <c r="N92" s="62">
        <v>115039</v>
      </c>
      <c r="O92" s="61">
        <f>N92/M92</f>
        <v>8180.5511111111109</v>
      </c>
    </row>
    <row r="93" spans="1:15" x14ac:dyDescent="0.25">
      <c r="A93" s="73" t="s">
        <v>46</v>
      </c>
      <c r="B93" s="73"/>
      <c r="C93" s="73"/>
      <c r="D93" s="73">
        <v>15</v>
      </c>
      <c r="E93" s="73" t="s">
        <v>39</v>
      </c>
      <c r="F93" s="73" t="s">
        <v>65</v>
      </c>
      <c r="G93" s="73">
        <v>500</v>
      </c>
      <c r="H93" s="73">
        <v>32</v>
      </c>
      <c r="I93" s="64">
        <v>10</v>
      </c>
      <c r="J93" s="64">
        <f>I93*60</f>
        <v>600</v>
      </c>
      <c r="K93" s="61">
        <f>G93/I93</f>
        <v>50</v>
      </c>
      <c r="L93" s="61">
        <f>G93/J93</f>
        <v>0.83333333333333337</v>
      </c>
      <c r="M93" s="63">
        <f>G93/H93</f>
        <v>15.625</v>
      </c>
      <c r="N93" s="62">
        <v>115040</v>
      </c>
      <c r="O93" s="61">
        <f>N93/M93</f>
        <v>7362.56</v>
      </c>
    </row>
    <row r="94" spans="1:15" x14ac:dyDescent="0.25">
      <c r="A94" s="73" t="s">
        <v>46</v>
      </c>
      <c r="B94" s="73"/>
      <c r="C94" s="73"/>
      <c r="D94" s="73">
        <v>18</v>
      </c>
      <c r="E94" s="73" t="s">
        <v>39</v>
      </c>
      <c r="F94" s="73" t="s">
        <v>65</v>
      </c>
      <c r="G94" s="73">
        <v>500</v>
      </c>
      <c r="H94" s="73">
        <v>32</v>
      </c>
      <c r="I94" s="64">
        <v>10</v>
      </c>
      <c r="J94" s="64">
        <f>I94*60</f>
        <v>600</v>
      </c>
      <c r="K94" s="61">
        <f>G94/I94</f>
        <v>50</v>
      </c>
      <c r="L94" s="61">
        <f>G94/J94</f>
        <v>0.83333333333333337</v>
      </c>
      <c r="M94" s="63">
        <f>G94/H94</f>
        <v>15.625</v>
      </c>
      <c r="N94" s="62">
        <v>115041</v>
      </c>
      <c r="O94" s="61">
        <f>N94/M94</f>
        <v>7362.6239999999998</v>
      </c>
    </row>
    <row r="95" spans="1:15" x14ac:dyDescent="0.25">
      <c r="A95" s="73" t="s">
        <v>46</v>
      </c>
      <c r="B95" s="73"/>
      <c r="C95" s="73"/>
      <c r="D95" s="73">
        <v>5</v>
      </c>
      <c r="E95" s="73" t="s">
        <v>43</v>
      </c>
      <c r="F95" s="73" t="s">
        <v>68</v>
      </c>
      <c r="G95" s="73">
        <v>3000</v>
      </c>
      <c r="H95" s="73">
        <v>32</v>
      </c>
      <c r="I95" s="64">
        <v>10</v>
      </c>
      <c r="J95" s="64">
        <f>I95*60</f>
        <v>600</v>
      </c>
      <c r="K95" s="61">
        <f>G95/I95</f>
        <v>300</v>
      </c>
      <c r="L95" s="61">
        <f>G95/J95</f>
        <v>5</v>
      </c>
      <c r="M95" s="63">
        <f>G95/H95</f>
        <v>93.75</v>
      </c>
      <c r="N95" s="62">
        <v>115032</v>
      </c>
      <c r="O95" s="61">
        <f>N95/M95</f>
        <v>1227.008</v>
      </c>
    </row>
    <row r="96" spans="1:15" x14ac:dyDescent="0.25">
      <c r="A96" s="73" t="s">
        <v>46</v>
      </c>
      <c r="B96" s="73"/>
      <c r="C96" s="73"/>
      <c r="D96" s="73">
        <v>8</v>
      </c>
      <c r="E96" s="73" t="s">
        <v>43</v>
      </c>
      <c r="F96" s="73" t="s">
        <v>47</v>
      </c>
      <c r="G96" s="73">
        <v>1300</v>
      </c>
      <c r="H96" s="73">
        <v>32</v>
      </c>
      <c r="I96" s="64">
        <v>10</v>
      </c>
      <c r="J96" s="64">
        <f>I96*60</f>
        <v>600</v>
      </c>
      <c r="K96" s="61">
        <f>G96/I96</f>
        <v>130</v>
      </c>
      <c r="L96" s="61">
        <f>G96/J96</f>
        <v>2.1666666666666665</v>
      </c>
      <c r="M96" s="63">
        <f>G96/H96</f>
        <v>40.625</v>
      </c>
      <c r="N96" s="62">
        <v>115033</v>
      </c>
      <c r="O96" s="61">
        <f>N96/M96</f>
        <v>2831.5815384615385</v>
      </c>
    </row>
    <row r="97" spans="1:15" x14ac:dyDescent="0.25">
      <c r="A97" s="73" t="s">
        <v>46</v>
      </c>
      <c r="B97" s="73"/>
      <c r="C97" s="73"/>
      <c r="D97" s="73">
        <v>9</v>
      </c>
      <c r="E97" s="73" t="s">
        <v>43</v>
      </c>
      <c r="F97" s="73" t="s">
        <v>47</v>
      </c>
      <c r="G97" s="73">
        <v>1200</v>
      </c>
      <c r="H97" s="73">
        <v>32</v>
      </c>
      <c r="I97" s="64">
        <v>10</v>
      </c>
      <c r="J97" s="64">
        <f>I97*60</f>
        <v>600</v>
      </c>
      <c r="K97" s="61">
        <f>G97/I97</f>
        <v>120</v>
      </c>
      <c r="L97" s="61">
        <f>G97/J97</f>
        <v>2</v>
      </c>
      <c r="M97" s="63">
        <f>G97/H97</f>
        <v>37.5</v>
      </c>
      <c r="N97" s="62">
        <v>115034</v>
      </c>
      <c r="O97" s="61">
        <f>N97/M97</f>
        <v>3067.5733333333333</v>
      </c>
    </row>
    <row r="98" spans="1:15" x14ac:dyDescent="0.25">
      <c r="A98" s="73" t="s">
        <v>46</v>
      </c>
      <c r="B98" s="73"/>
      <c r="C98" s="73"/>
      <c r="D98" s="73">
        <v>12</v>
      </c>
      <c r="E98" s="73" t="s">
        <v>43</v>
      </c>
      <c r="F98" s="73" t="s">
        <v>47</v>
      </c>
      <c r="G98" s="73">
        <v>1000</v>
      </c>
      <c r="H98" s="73">
        <v>32</v>
      </c>
      <c r="I98" s="64">
        <v>10</v>
      </c>
      <c r="J98" s="64">
        <f>I98*60</f>
        <v>600</v>
      </c>
      <c r="K98" s="61">
        <f>G98/I98</f>
        <v>100</v>
      </c>
      <c r="L98" s="61">
        <f>G98/J98</f>
        <v>1.6666666666666667</v>
      </c>
      <c r="M98" s="63">
        <f>G98/H98</f>
        <v>31.25</v>
      </c>
      <c r="N98" s="62">
        <v>115035</v>
      </c>
      <c r="O98" s="61">
        <f>N98/M98</f>
        <v>3681.12</v>
      </c>
    </row>
    <row r="99" spans="1:15" x14ac:dyDescent="0.25">
      <c r="A99" s="73" t="s">
        <v>46</v>
      </c>
      <c r="B99" s="73"/>
      <c r="C99" s="73"/>
      <c r="D99" s="73">
        <v>15</v>
      </c>
      <c r="E99" s="73" t="s">
        <v>43</v>
      </c>
      <c r="F99" s="73" t="s">
        <v>47</v>
      </c>
      <c r="G99" s="73">
        <v>750</v>
      </c>
      <c r="H99" s="73">
        <v>32</v>
      </c>
      <c r="I99" s="64">
        <v>10</v>
      </c>
      <c r="J99" s="64">
        <f>I99*60</f>
        <v>600</v>
      </c>
      <c r="K99" s="61">
        <f>G99/I99</f>
        <v>75</v>
      </c>
      <c r="L99" s="61">
        <f>G99/J99</f>
        <v>1.25</v>
      </c>
      <c r="M99" s="63">
        <f>G99/H99</f>
        <v>23.4375</v>
      </c>
      <c r="N99" s="62">
        <v>115036</v>
      </c>
      <c r="O99" s="61">
        <f>N99/M99</f>
        <v>4908.202666666667</v>
      </c>
    </row>
    <row r="100" spans="1:15" x14ac:dyDescent="0.25">
      <c r="A100" s="73" t="s">
        <v>46</v>
      </c>
      <c r="B100" s="73"/>
      <c r="C100" s="73"/>
      <c r="D100" s="73">
        <v>18</v>
      </c>
      <c r="E100" s="73" t="s">
        <v>43</v>
      </c>
      <c r="F100" s="73" t="s">
        <v>47</v>
      </c>
      <c r="G100" s="73">
        <v>700</v>
      </c>
      <c r="H100" s="73">
        <v>32</v>
      </c>
      <c r="I100" s="64">
        <v>10</v>
      </c>
      <c r="J100" s="64">
        <f>I100*60</f>
        <v>600</v>
      </c>
      <c r="K100" s="61">
        <f>G100/I100</f>
        <v>70</v>
      </c>
      <c r="L100" s="61">
        <f>G100/J100</f>
        <v>1.1666666666666667</v>
      </c>
      <c r="M100" s="63">
        <f>G100/H100</f>
        <v>21.875</v>
      </c>
      <c r="N100" s="62">
        <v>115037</v>
      </c>
      <c r="O100" s="61">
        <f>N100/M100</f>
        <v>5258.8342857142861</v>
      </c>
    </row>
    <row r="101" spans="1:15" x14ac:dyDescent="0.25">
      <c r="A101" s="73" t="s">
        <v>67</v>
      </c>
      <c r="B101" s="73"/>
      <c r="C101" s="73"/>
      <c r="D101" s="73">
        <v>9</v>
      </c>
      <c r="E101" s="73" t="s">
        <v>39</v>
      </c>
      <c r="F101" s="73" t="s">
        <v>66</v>
      </c>
      <c r="G101" s="73">
        <v>600</v>
      </c>
      <c r="H101" s="73">
        <v>32</v>
      </c>
      <c r="I101" s="64">
        <v>10</v>
      </c>
      <c r="J101" s="64">
        <f>I101*60</f>
        <v>600</v>
      </c>
      <c r="K101" s="61">
        <f>G101/I101</f>
        <v>60</v>
      </c>
      <c r="L101" s="61">
        <f>G101/J101</f>
        <v>1</v>
      </c>
      <c r="M101" s="63">
        <f>G101/H101</f>
        <v>18.75</v>
      </c>
      <c r="N101" s="62">
        <v>115038</v>
      </c>
      <c r="O101" s="61">
        <f>N101/M101</f>
        <v>6135.36</v>
      </c>
    </row>
    <row r="102" spans="1:15" x14ac:dyDescent="0.25">
      <c r="A102" s="73" t="s">
        <v>46</v>
      </c>
      <c r="B102" s="73"/>
      <c r="C102" s="73"/>
      <c r="D102" s="73">
        <v>12</v>
      </c>
      <c r="E102" s="73" t="s">
        <v>43</v>
      </c>
      <c r="F102" s="73" t="s">
        <v>65</v>
      </c>
      <c r="G102" s="73">
        <v>700</v>
      </c>
      <c r="H102" s="73">
        <v>32</v>
      </c>
      <c r="I102" s="64">
        <v>10</v>
      </c>
      <c r="J102" s="64">
        <f>I102*60</f>
        <v>600</v>
      </c>
      <c r="K102" s="61">
        <f>G102/I102</f>
        <v>70</v>
      </c>
      <c r="L102" s="61">
        <f>G102/J102</f>
        <v>1.1666666666666667</v>
      </c>
      <c r="M102" s="63">
        <f>G102/H102</f>
        <v>21.875</v>
      </c>
      <c r="N102" s="62">
        <v>115039</v>
      </c>
      <c r="O102" s="61">
        <f>N102/M102</f>
        <v>5258.9257142857141</v>
      </c>
    </row>
    <row r="103" spans="1:15" x14ac:dyDescent="0.25">
      <c r="A103" s="73" t="s">
        <v>46</v>
      </c>
      <c r="B103" s="73"/>
      <c r="C103" s="73"/>
      <c r="D103" s="73">
        <v>15</v>
      </c>
      <c r="E103" s="73" t="s">
        <v>43</v>
      </c>
      <c r="F103" s="73" t="s">
        <v>65</v>
      </c>
      <c r="G103" s="73">
        <v>500</v>
      </c>
      <c r="H103" s="73">
        <v>32</v>
      </c>
      <c r="I103" s="64">
        <v>10</v>
      </c>
      <c r="J103" s="64">
        <f>I103*60</f>
        <v>600</v>
      </c>
      <c r="K103" s="61">
        <f>G103/I103</f>
        <v>50</v>
      </c>
      <c r="L103" s="61">
        <f>G103/J103</f>
        <v>0.83333333333333337</v>
      </c>
      <c r="M103" s="63">
        <f>G103/H103</f>
        <v>15.625</v>
      </c>
      <c r="N103" s="62">
        <v>115040</v>
      </c>
      <c r="O103" s="61">
        <f>N103/M103</f>
        <v>7362.56</v>
      </c>
    </row>
    <row r="104" spans="1:15" x14ac:dyDescent="0.25">
      <c r="A104" s="73" t="s">
        <v>46</v>
      </c>
      <c r="B104" s="73"/>
      <c r="C104" s="73"/>
      <c r="D104" s="73">
        <v>18</v>
      </c>
      <c r="E104" s="73" t="s">
        <v>43</v>
      </c>
      <c r="F104" s="73" t="s">
        <v>65</v>
      </c>
      <c r="G104" s="73">
        <v>500</v>
      </c>
      <c r="H104" s="73">
        <v>32</v>
      </c>
      <c r="I104" s="64">
        <v>10</v>
      </c>
      <c r="J104" s="64">
        <f>I104*60</f>
        <v>600</v>
      </c>
      <c r="K104" s="61">
        <f>G104/I104</f>
        <v>50</v>
      </c>
      <c r="L104" s="61">
        <f>G104/J104</f>
        <v>0.83333333333333337</v>
      </c>
      <c r="M104" s="63">
        <f>G104/H104</f>
        <v>15.625</v>
      </c>
      <c r="N104" s="62">
        <v>115041</v>
      </c>
      <c r="O104" s="61">
        <f>N104/M104</f>
        <v>7362.6239999999998</v>
      </c>
    </row>
    <row r="105" spans="1:15" x14ac:dyDescent="0.25">
      <c r="A105" s="66" t="s">
        <v>59</v>
      </c>
      <c r="B105" s="70"/>
      <c r="C105" s="62"/>
      <c r="D105" s="62"/>
      <c r="E105" s="69"/>
      <c r="F105" s="69" t="s">
        <v>47</v>
      </c>
      <c r="G105" s="68">
        <v>800</v>
      </c>
      <c r="H105" s="67">
        <v>1</v>
      </c>
      <c r="I105" s="64">
        <v>9</v>
      </c>
      <c r="J105" s="64">
        <f>I105*60</f>
        <v>540</v>
      </c>
      <c r="K105" s="61">
        <f>G105/I105</f>
        <v>88.888888888888886</v>
      </c>
      <c r="L105" s="61">
        <f>G105/J105</f>
        <v>1.4814814814814814</v>
      </c>
      <c r="M105" s="63">
        <f>G105/H105</f>
        <v>800</v>
      </c>
      <c r="N105" s="62">
        <v>115000</v>
      </c>
      <c r="O105" s="61">
        <f>N105/M105</f>
        <v>143.75</v>
      </c>
    </row>
    <row r="106" spans="1:15" x14ac:dyDescent="0.25">
      <c r="A106" s="66" t="s">
        <v>59</v>
      </c>
      <c r="B106" s="70"/>
      <c r="C106" s="62"/>
      <c r="D106" s="62">
        <v>4</v>
      </c>
      <c r="E106" s="69"/>
      <c r="F106" s="69" t="s">
        <v>47</v>
      </c>
      <c r="G106" s="68">
        <v>450</v>
      </c>
      <c r="H106" s="67">
        <v>2</v>
      </c>
      <c r="I106" s="64">
        <v>9</v>
      </c>
      <c r="J106" s="64">
        <f>I106*60</f>
        <v>540</v>
      </c>
      <c r="K106" s="61">
        <f>G106/I106</f>
        <v>50</v>
      </c>
      <c r="L106" s="61">
        <f>G106/J106</f>
        <v>0.83333333333333337</v>
      </c>
      <c r="M106" s="63">
        <f>G106/H106</f>
        <v>225</v>
      </c>
      <c r="N106" s="62">
        <v>115000</v>
      </c>
      <c r="O106" s="61">
        <f>N106/M106</f>
        <v>511.11111111111109</v>
      </c>
    </row>
    <row r="107" spans="1:15" x14ac:dyDescent="0.25">
      <c r="A107" s="66" t="s">
        <v>59</v>
      </c>
      <c r="B107" s="70"/>
      <c r="C107" s="62"/>
      <c r="D107" s="62">
        <v>5</v>
      </c>
      <c r="E107" s="69"/>
      <c r="F107" s="69" t="s">
        <v>47</v>
      </c>
      <c r="G107" s="68">
        <v>450</v>
      </c>
      <c r="H107" s="67">
        <v>2</v>
      </c>
      <c r="I107" s="64">
        <v>9</v>
      </c>
      <c r="J107" s="64">
        <f>I107*60</f>
        <v>540</v>
      </c>
      <c r="K107" s="61">
        <f>G107/I107</f>
        <v>50</v>
      </c>
      <c r="L107" s="61">
        <f>G107/J107</f>
        <v>0.83333333333333337</v>
      </c>
      <c r="M107" s="63">
        <f>G107/H107</f>
        <v>225</v>
      </c>
      <c r="N107" s="62">
        <v>115000</v>
      </c>
      <c r="O107" s="61">
        <f>N107/M107</f>
        <v>511.11111111111109</v>
      </c>
    </row>
    <row r="108" spans="1:15" x14ac:dyDescent="0.25">
      <c r="A108" s="66" t="s">
        <v>59</v>
      </c>
      <c r="B108" s="70"/>
      <c r="C108" s="62"/>
      <c r="D108" s="62">
        <v>6</v>
      </c>
      <c r="E108" s="69"/>
      <c r="F108" s="69" t="s">
        <v>47</v>
      </c>
      <c r="G108" s="68">
        <v>450</v>
      </c>
      <c r="H108" s="67">
        <v>2</v>
      </c>
      <c r="I108" s="64">
        <v>9</v>
      </c>
      <c r="J108" s="64">
        <f>I108*60</f>
        <v>540</v>
      </c>
      <c r="K108" s="61">
        <f>G108/I108</f>
        <v>50</v>
      </c>
      <c r="L108" s="61">
        <f>G108/J108</f>
        <v>0.83333333333333337</v>
      </c>
      <c r="M108" s="63">
        <f>G108/H108</f>
        <v>225</v>
      </c>
      <c r="N108" s="62">
        <v>115000</v>
      </c>
      <c r="O108" s="61">
        <f>N108/M108</f>
        <v>511.11111111111109</v>
      </c>
    </row>
    <row r="109" spans="1:15" x14ac:dyDescent="0.25">
      <c r="A109" s="66" t="s">
        <v>59</v>
      </c>
      <c r="B109" s="70"/>
      <c r="C109" s="62"/>
      <c r="D109" s="62">
        <v>8</v>
      </c>
      <c r="E109" s="69"/>
      <c r="F109" s="69" t="s">
        <v>47</v>
      </c>
      <c r="G109" s="68">
        <v>450</v>
      </c>
      <c r="H109" s="67">
        <v>2</v>
      </c>
      <c r="I109" s="64">
        <v>9</v>
      </c>
      <c r="J109" s="64">
        <f>I109*60</f>
        <v>540</v>
      </c>
      <c r="K109" s="61">
        <f>G109/I109</f>
        <v>50</v>
      </c>
      <c r="L109" s="61">
        <f>G109/J109</f>
        <v>0.83333333333333337</v>
      </c>
      <c r="M109" s="63">
        <f>G109/H109</f>
        <v>225</v>
      </c>
      <c r="N109" s="62">
        <v>115000</v>
      </c>
      <c r="O109" s="61">
        <f>N109/M109</f>
        <v>511.11111111111109</v>
      </c>
    </row>
    <row r="110" spans="1:15" x14ac:dyDescent="0.25">
      <c r="A110" s="66" t="s">
        <v>59</v>
      </c>
      <c r="B110" s="70"/>
      <c r="C110" s="62"/>
      <c r="D110" s="62">
        <v>9</v>
      </c>
      <c r="E110" s="69"/>
      <c r="F110" s="69" t="s">
        <v>47</v>
      </c>
      <c r="G110" s="68">
        <v>450</v>
      </c>
      <c r="H110" s="67">
        <v>2</v>
      </c>
      <c r="I110" s="64">
        <v>9</v>
      </c>
      <c r="J110" s="64">
        <f>I110*60</f>
        <v>540</v>
      </c>
      <c r="K110" s="61">
        <f>G110/I110</f>
        <v>50</v>
      </c>
      <c r="L110" s="61">
        <f>G110/J110</f>
        <v>0.83333333333333337</v>
      </c>
      <c r="M110" s="63">
        <f>G110/H110</f>
        <v>225</v>
      </c>
      <c r="N110" s="62">
        <v>115000</v>
      </c>
      <c r="O110" s="61">
        <f>N110/M110</f>
        <v>511.11111111111109</v>
      </c>
    </row>
    <row r="111" spans="1:15" x14ac:dyDescent="0.25">
      <c r="A111" s="66" t="s">
        <v>59</v>
      </c>
      <c r="B111" s="70"/>
      <c r="C111" s="62"/>
      <c r="D111" s="62">
        <v>12</v>
      </c>
      <c r="E111" s="69"/>
      <c r="F111" s="69" t="s">
        <v>47</v>
      </c>
      <c r="G111" s="68">
        <v>450</v>
      </c>
      <c r="H111" s="67">
        <v>2</v>
      </c>
      <c r="I111" s="64">
        <v>9</v>
      </c>
      <c r="J111" s="64">
        <f>I111*60</f>
        <v>540</v>
      </c>
      <c r="K111" s="61">
        <f>G111/I111</f>
        <v>50</v>
      </c>
      <c r="L111" s="61">
        <f>G111/J111</f>
        <v>0.83333333333333337</v>
      </c>
      <c r="M111" s="63">
        <f>G111/H111</f>
        <v>225</v>
      </c>
      <c r="N111" s="62">
        <v>115000</v>
      </c>
      <c r="O111" s="61">
        <f>N111/M111</f>
        <v>511.11111111111109</v>
      </c>
    </row>
    <row r="112" spans="1:15" x14ac:dyDescent="0.25">
      <c r="A112" s="66" t="s">
        <v>59</v>
      </c>
      <c r="B112" s="70"/>
      <c r="C112" s="62"/>
      <c r="D112" s="62">
        <v>15</v>
      </c>
      <c r="E112" s="69"/>
      <c r="F112" s="69" t="s">
        <v>47</v>
      </c>
      <c r="G112" s="68">
        <v>400</v>
      </c>
      <c r="H112" s="67">
        <v>2</v>
      </c>
      <c r="I112" s="64">
        <v>9</v>
      </c>
      <c r="J112" s="64">
        <f>I112*60</f>
        <v>540</v>
      </c>
      <c r="K112" s="61">
        <f>G112/I112</f>
        <v>44.444444444444443</v>
      </c>
      <c r="L112" s="61">
        <f>G112/J112</f>
        <v>0.7407407407407407</v>
      </c>
      <c r="M112" s="63">
        <f>G112/H112</f>
        <v>200</v>
      </c>
      <c r="N112" s="62">
        <v>115000</v>
      </c>
      <c r="O112" s="61">
        <f>N112/M112</f>
        <v>575</v>
      </c>
    </row>
    <row r="113" spans="1:15" x14ac:dyDescent="0.25">
      <c r="A113" s="66" t="s">
        <v>59</v>
      </c>
      <c r="B113" s="70"/>
      <c r="C113" s="62"/>
      <c r="D113" s="62">
        <v>18</v>
      </c>
      <c r="E113" s="69"/>
      <c r="F113" s="69" t="s">
        <v>47</v>
      </c>
      <c r="G113" s="68">
        <v>400</v>
      </c>
      <c r="H113" s="67">
        <v>2</v>
      </c>
      <c r="I113" s="64">
        <v>9</v>
      </c>
      <c r="J113" s="64">
        <f>I113*60</f>
        <v>540</v>
      </c>
      <c r="K113" s="61">
        <f>G113/I113</f>
        <v>44.444444444444443</v>
      </c>
      <c r="L113" s="61">
        <f>G113/J113</f>
        <v>0.7407407407407407</v>
      </c>
      <c r="M113" s="63">
        <f>G113/H113</f>
        <v>200</v>
      </c>
      <c r="N113" s="62">
        <v>115000</v>
      </c>
      <c r="O113" s="61">
        <f>N113/M113</f>
        <v>575</v>
      </c>
    </row>
    <row r="114" spans="1:15" x14ac:dyDescent="0.25">
      <c r="A114" s="66" t="s">
        <v>59</v>
      </c>
      <c r="B114" s="70"/>
      <c r="C114" s="62"/>
      <c r="D114" s="62">
        <v>3</v>
      </c>
      <c r="E114" s="69"/>
      <c r="F114" s="69" t="s">
        <v>58</v>
      </c>
      <c r="G114" s="68">
        <v>550</v>
      </c>
      <c r="H114" s="67">
        <v>2</v>
      </c>
      <c r="I114" s="64">
        <v>9</v>
      </c>
      <c r="J114" s="64">
        <f>I114*60</f>
        <v>540</v>
      </c>
      <c r="K114" s="61">
        <f>G114/I114</f>
        <v>61.111111111111114</v>
      </c>
      <c r="L114" s="61">
        <f>G114/J114</f>
        <v>1.0185185185185186</v>
      </c>
      <c r="M114" s="63">
        <f>G114/H114</f>
        <v>275</v>
      </c>
      <c r="N114" s="62">
        <v>115000</v>
      </c>
      <c r="O114" s="61">
        <f>N114/M114</f>
        <v>418.18181818181819</v>
      </c>
    </row>
    <row r="115" spans="1:15" x14ac:dyDescent="0.25">
      <c r="A115" s="66" t="s">
        <v>59</v>
      </c>
      <c r="B115" s="70"/>
      <c r="C115" s="62"/>
      <c r="D115" s="62">
        <v>4</v>
      </c>
      <c r="E115" s="69"/>
      <c r="F115" s="69" t="s">
        <v>58</v>
      </c>
      <c r="G115" s="68">
        <v>550</v>
      </c>
      <c r="H115" s="67">
        <v>2</v>
      </c>
      <c r="I115" s="64">
        <v>9</v>
      </c>
      <c r="J115" s="64">
        <f>I115*60</f>
        <v>540</v>
      </c>
      <c r="K115" s="61">
        <f>G115/I115</f>
        <v>61.111111111111114</v>
      </c>
      <c r="L115" s="61">
        <f>G115/J115</f>
        <v>1.0185185185185186</v>
      </c>
      <c r="M115" s="63">
        <f>G115/H115</f>
        <v>275</v>
      </c>
      <c r="N115" s="62">
        <v>115000</v>
      </c>
      <c r="O115" s="61">
        <f>N115/M115</f>
        <v>418.18181818181819</v>
      </c>
    </row>
    <row r="116" spans="1:15" x14ac:dyDescent="0.25">
      <c r="A116" s="66" t="s">
        <v>59</v>
      </c>
      <c r="B116" s="70"/>
      <c r="C116" s="62"/>
      <c r="D116" s="62">
        <v>5</v>
      </c>
      <c r="E116" s="69"/>
      <c r="F116" s="69" t="s">
        <v>58</v>
      </c>
      <c r="G116" s="68">
        <v>550</v>
      </c>
      <c r="H116" s="67">
        <v>2</v>
      </c>
      <c r="I116" s="64">
        <v>9</v>
      </c>
      <c r="J116" s="64">
        <f>I116*60</f>
        <v>540</v>
      </c>
      <c r="K116" s="61">
        <f>G116/I116</f>
        <v>61.111111111111114</v>
      </c>
      <c r="L116" s="61">
        <f>G116/J116</f>
        <v>1.0185185185185186</v>
      </c>
      <c r="M116" s="63">
        <f>G116/H116</f>
        <v>275</v>
      </c>
      <c r="N116" s="62">
        <v>115000</v>
      </c>
      <c r="O116" s="61">
        <f>N116/M116</f>
        <v>418.18181818181819</v>
      </c>
    </row>
    <row r="117" spans="1:15" x14ac:dyDescent="0.25">
      <c r="A117" s="66" t="s">
        <v>59</v>
      </c>
      <c r="B117" s="70"/>
      <c r="C117" s="62"/>
      <c r="D117" s="62">
        <v>6</v>
      </c>
      <c r="E117" s="69"/>
      <c r="F117" s="69" t="s">
        <v>58</v>
      </c>
      <c r="G117" s="68">
        <v>550</v>
      </c>
      <c r="H117" s="67">
        <v>2</v>
      </c>
      <c r="I117" s="64">
        <v>9</v>
      </c>
      <c r="J117" s="64">
        <f>I117*60</f>
        <v>540</v>
      </c>
      <c r="K117" s="61">
        <f>G117/I117</f>
        <v>61.111111111111114</v>
      </c>
      <c r="L117" s="61">
        <f>G117/J117</f>
        <v>1.0185185185185186</v>
      </c>
      <c r="M117" s="63">
        <f>G117/H117</f>
        <v>275</v>
      </c>
      <c r="N117" s="62">
        <v>115000</v>
      </c>
      <c r="O117" s="61">
        <f>N117/M117</f>
        <v>418.18181818181819</v>
      </c>
    </row>
    <row r="118" spans="1:15" x14ac:dyDescent="0.25">
      <c r="A118" s="66" t="s">
        <v>59</v>
      </c>
      <c r="B118" s="70"/>
      <c r="C118" s="62"/>
      <c r="D118" s="62">
        <v>8</v>
      </c>
      <c r="E118" s="69"/>
      <c r="F118" s="69" t="s">
        <v>58</v>
      </c>
      <c r="G118" s="68">
        <v>550</v>
      </c>
      <c r="H118" s="67">
        <v>2</v>
      </c>
      <c r="I118" s="64">
        <v>9</v>
      </c>
      <c r="J118" s="64">
        <f>I118*60</f>
        <v>540</v>
      </c>
      <c r="K118" s="61">
        <f>G118/I118</f>
        <v>61.111111111111114</v>
      </c>
      <c r="L118" s="61">
        <f>G118/J118</f>
        <v>1.0185185185185186</v>
      </c>
      <c r="M118" s="63">
        <f>G118/H118</f>
        <v>275</v>
      </c>
      <c r="N118" s="62">
        <v>115000</v>
      </c>
      <c r="O118" s="61">
        <f>N118/M118</f>
        <v>418.18181818181819</v>
      </c>
    </row>
    <row r="119" spans="1:15" x14ac:dyDescent="0.25">
      <c r="A119" s="66" t="s">
        <v>59</v>
      </c>
      <c r="B119" s="70"/>
      <c r="C119" s="62"/>
      <c r="D119" s="62">
        <v>9</v>
      </c>
      <c r="E119" s="69"/>
      <c r="F119" s="69" t="s">
        <v>58</v>
      </c>
      <c r="G119" s="68">
        <v>550</v>
      </c>
      <c r="H119" s="67">
        <v>2</v>
      </c>
      <c r="I119" s="64">
        <v>9</v>
      </c>
      <c r="J119" s="64">
        <f>I119*60</f>
        <v>540</v>
      </c>
      <c r="K119" s="61">
        <f>G119/I119</f>
        <v>61.111111111111114</v>
      </c>
      <c r="L119" s="61">
        <f>G119/J119</f>
        <v>1.0185185185185186</v>
      </c>
      <c r="M119" s="63">
        <f>G119/H119</f>
        <v>275</v>
      </c>
      <c r="N119" s="62">
        <v>115000</v>
      </c>
      <c r="O119" s="61">
        <f>N119/M119</f>
        <v>418.18181818181819</v>
      </c>
    </row>
    <row r="120" spans="1:15" x14ac:dyDescent="0.25">
      <c r="A120" s="66" t="s">
        <v>59</v>
      </c>
      <c r="B120" s="70"/>
      <c r="C120" s="62"/>
      <c r="D120" s="62">
        <v>12</v>
      </c>
      <c r="E120" s="69"/>
      <c r="F120" s="69" t="s">
        <v>58</v>
      </c>
      <c r="G120" s="68">
        <v>550</v>
      </c>
      <c r="H120" s="67">
        <v>2</v>
      </c>
      <c r="I120" s="64">
        <v>9</v>
      </c>
      <c r="J120" s="64">
        <f>I120*60</f>
        <v>540</v>
      </c>
      <c r="K120" s="61">
        <f>G120/I120</f>
        <v>61.111111111111114</v>
      </c>
      <c r="L120" s="61">
        <f>G120/J120</f>
        <v>1.0185185185185186</v>
      </c>
      <c r="M120" s="63">
        <f>G120/H120</f>
        <v>275</v>
      </c>
      <c r="N120" s="62">
        <v>115000</v>
      </c>
      <c r="O120" s="61">
        <f>N120/M120</f>
        <v>418.18181818181819</v>
      </c>
    </row>
    <row r="121" spans="1:15" x14ac:dyDescent="0.25">
      <c r="A121" s="66" t="s">
        <v>59</v>
      </c>
      <c r="B121" s="62"/>
      <c r="C121" s="62"/>
      <c r="D121" s="62">
        <v>15</v>
      </c>
      <c r="E121" s="69"/>
      <c r="F121" s="69" t="s">
        <v>58</v>
      </c>
      <c r="G121" s="68">
        <v>500</v>
      </c>
      <c r="H121" s="67">
        <v>2</v>
      </c>
      <c r="I121" s="64">
        <v>9</v>
      </c>
      <c r="J121" s="64">
        <f>I121*60</f>
        <v>540</v>
      </c>
      <c r="K121" s="61">
        <f>G121/I121</f>
        <v>55.555555555555557</v>
      </c>
      <c r="L121" s="61">
        <f>G121/J121</f>
        <v>0.92592592592592593</v>
      </c>
      <c r="M121" s="63">
        <f>G121/H121</f>
        <v>250</v>
      </c>
      <c r="N121" s="62">
        <v>115000</v>
      </c>
      <c r="O121" s="61">
        <f>N121/M121</f>
        <v>460</v>
      </c>
    </row>
    <row r="122" spans="1:15" x14ac:dyDescent="0.25">
      <c r="A122" s="66" t="s">
        <v>59</v>
      </c>
      <c r="B122" s="62"/>
      <c r="C122" s="62"/>
      <c r="D122" s="62">
        <v>18</v>
      </c>
      <c r="E122" s="69"/>
      <c r="F122" s="69" t="s">
        <v>58</v>
      </c>
      <c r="G122" s="68">
        <v>500</v>
      </c>
      <c r="H122" s="67">
        <v>2</v>
      </c>
      <c r="I122" s="64">
        <v>9</v>
      </c>
      <c r="J122" s="64">
        <f>I122*60</f>
        <v>540</v>
      </c>
      <c r="K122" s="61">
        <f>G122/I122</f>
        <v>55.555555555555557</v>
      </c>
      <c r="L122" s="61">
        <f>G122/J122</f>
        <v>0.92592592592592593</v>
      </c>
      <c r="M122" s="63">
        <f>G122/H122</f>
        <v>250</v>
      </c>
      <c r="N122" s="62">
        <v>115000</v>
      </c>
      <c r="O122" s="61">
        <f>N122/M122</f>
        <v>460</v>
      </c>
    </row>
    <row r="123" spans="1:15" x14ac:dyDescent="0.25">
      <c r="A123" s="66" t="s">
        <v>57</v>
      </c>
      <c r="B123" s="66"/>
      <c r="C123" s="66"/>
      <c r="D123" s="66"/>
      <c r="E123" s="66"/>
      <c r="F123" s="66"/>
      <c r="G123" s="66">
        <v>160</v>
      </c>
      <c r="H123" s="65">
        <v>1</v>
      </c>
      <c r="I123" s="64">
        <v>9</v>
      </c>
      <c r="J123" s="64">
        <f>I123*60</f>
        <v>540</v>
      </c>
      <c r="K123" s="61">
        <f>G123/I123</f>
        <v>17.777777777777779</v>
      </c>
      <c r="L123" s="61">
        <f>G123/J123</f>
        <v>0.29629629629629628</v>
      </c>
      <c r="M123" s="63">
        <f>G123/H123</f>
        <v>160</v>
      </c>
      <c r="N123" s="62">
        <v>115000</v>
      </c>
      <c r="O123" s="61">
        <f>N123/M123</f>
        <v>718.75</v>
      </c>
    </row>
    <row r="124" spans="1:15" x14ac:dyDescent="0.25">
      <c r="A124" s="66" t="s">
        <v>56</v>
      </c>
      <c r="B124" s="66"/>
      <c r="C124" s="66"/>
      <c r="D124" s="66"/>
      <c r="E124" s="66"/>
      <c r="F124" s="66"/>
      <c r="G124" s="66">
        <v>400</v>
      </c>
      <c r="H124" s="65">
        <v>2</v>
      </c>
      <c r="I124" s="65">
        <v>9</v>
      </c>
      <c r="J124" s="64">
        <f>I124*60</f>
        <v>540</v>
      </c>
      <c r="K124" s="61">
        <f>G124/I124</f>
        <v>44.444444444444443</v>
      </c>
      <c r="L124" s="61">
        <f>G124/J124</f>
        <v>0.7407407407407407</v>
      </c>
      <c r="M124" s="63">
        <f>G124/H124</f>
        <v>200</v>
      </c>
      <c r="N124" s="62">
        <v>115000</v>
      </c>
      <c r="O124" s="61">
        <f>N124/M124</f>
        <v>575</v>
      </c>
    </row>
  </sheetData>
  <mergeCells count="1">
    <mergeCell ref="Q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 Wijaya</vt:lpstr>
      <vt:lpstr>Target Wahana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2026-08-12T02:24:17Z</dcterms:created>
  <dcterms:modified xsi:type="dcterms:W3CDTF">2026-08-12T02:27:17Z</dcterms:modified>
</cp:coreProperties>
</file>